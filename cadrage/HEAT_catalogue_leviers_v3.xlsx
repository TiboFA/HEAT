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 d'emploi" sheetId="1" state="visible" r:id="rId1"/>
    <sheet xmlns:r="http://schemas.openxmlformats.org/officeDocument/2006/relationships" name="Catalogue" sheetId="2" state="visible" r:id="rId2"/>
    <sheet xmlns:r="http://schemas.openxmlformats.org/officeDocument/2006/relationships" name="Non retenus" sheetId="3" state="visible" r:id="rId3"/>
    <sheet xmlns:r="http://schemas.openxmlformats.org/officeDocument/2006/relationships" name="Correspondance" sheetId="4" state="visible" r:id="rId4"/>
    <sheet xmlns:r="http://schemas.openxmlformats.org/officeDocument/2006/relationships" name="Contrôles" sheetId="5" state="visible" r:id="rId5"/>
  </sheets>
  <definedNames>
    <definedName name="_xlnm._FilterDatabase" localSheetId="1" hidden="1">'Catalogue'!$A$1:$Y$113</definedName>
    <definedName name="_xlnm._FilterDatabase" localSheetId="2" hidden="1">'Non retenus'!$A$1:$J$35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6"/>
    </font>
    <font>
      <name val="Arial"/>
      <i val="1"/>
      <color rgb="00555555"/>
      <sz val="10"/>
    </font>
    <font>
      <name val="Arial"/>
      <sz val="10"/>
    </font>
    <font>
      <name val="Arial"/>
      <b val="1"/>
      <sz val="11"/>
    </font>
    <font>
      <name val="Arial"/>
      <b val="1"/>
      <color rgb="00FFFFFF"/>
      <sz val="10"/>
    </font>
  </fonts>
  <fills count="6">
    <fill>
      <patternFill/>
    </fill>
    <fill>
      <patternFill patternType="gray125"/>
    </fill>
    <fill>
      <patternFill patternType="solid">
        <fgColor rgb="001F3864"/>
      </patternFill>
    </fill>
    <fill>
      <patternFill patternType="solid">
        <fgColor rgb="00EAF1F8"/>
      </patternFill>
    </fill>
    <fill>
      <patternFill patternType="solid">
        <fgColor rgb="00FFF2CC"/>
      </patternFill>
    </fill>
    <fill>
      <patternFill patternType="solid">
        <fgColor rgb="00FBEAE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xf>
    <xf numFmtId="0" fontId="5" fillId="2" borderId="1" applyAlignment="1" pivotButton="0" quotePrefix="0" xfId="0">
      <alignment vertical="center" wrapText="1"/>
    </xf>
    <xf numFmtId="0" fontId="3" fillId="3" borderId="1" applyAlignment="1" pivotButton="0" quotePrefix="0" xfId="0">
      <alignment vertical="top"/>
    </xf>
    <xf numFmtId="0" fontId="3" fillId="3" borderId="1" applyAlignment="1" pivotButton="0" quotePrefix="0" xfId="0">
      <alignment vertical="top" wrapText="1"/>
    </xf>
    <xf numFmtId="0" fontId="3" fillId="4" borderId="1" applyAlignment="1" pivotButton="0" quotePrefix="0" xfId="0">
      <alignment vertical="top"/>
    </xf>
    <xf numFmtId="0" fontId="3" fillId="4" borderId="1" applyAlignment="1" pivotButton="0" quotePrefix="0" xfId="0">
      <alignment vertical="top" wrapText="1"/>
    </xf>
    <xf numFmtId="0" fontId="3" fillId="5" borderId="1" applyAlignment="1" pivotButton="0" quotePrefix="0" xfId="0">
      <alignment vertical="top"/>
    </xf>
    <xf numFmtId="0" fontId="3" fillId="5" borderId="1" applyAlignment="1" pivotButton="0" quotePrefix="0" xfId="0">
      <alignment vertical="top" wrapText="1"/>
    </xf>
    <xf numFmtId="0" fontId="3" fillId="0" borderId="1" applyAlignment="1" pivotButton="0" quotePrefix="0" xfId="0">
      <alignment vertical="top"/>
    </xf>
    <xf numFmtId="0" fontId="3" fillId="0" borderId="1" applyAlignment="1" pivotButton="0" quotePrefix="0" xfId="0">
      <alignment vertical="top" wrapText="1"/>
    </xf>
    <xf numFmtId="0" fontId="2" fillId="0" borderId="0" pivotButton="0" quotePrefix="0" xfId="0"/>
    <xf numFmtId="0" fontId="1" fillId="0" borderId="0" pivotButton="0" quotePrefix="0" xfId="0"/>
    <xf numFmtId="0" fontId="4"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20" customWidth="1" min="1" max="1"/>
  </cols>
  <sheetData>
    <row r="1">
      <c r="A1" s="1" t="inlineStr">
        <is>
          <t>HEAT — Catalogue des leviers, version 3</t>
        </is>
      </c>
    </row>
    <row r="2">
      <c r="A2" s="2" t="inlineStr">
        <is>
          <t>Régénéré depuis le code du jeu le 26/08/2026 — jeu en version v0.9.1.</t>
        </is>
      </c>
    </row>
    <row r="3">
      <c r="A3" s="3" t="inlineStr"/>
    </row>
    <row r="4">
      <c r="A4" s="4" t="inlineStr">
        <is>
          <t>Ce que contient ce fichier</t>
        </is>
      </c>
    </row>
    <row r="5">
      <c r="A5" s="3" t="inlineStr">
        <is>
          <t>Onglet Catalogue — les leviers réellement jouables, extraits automatiquement du fichier du jeu. Coûts, seuils, latences,</t>
        </is>
      </c>
    </row>
    <row r="6">
      <c r="A6" s="3" t="inlineStr">
        <is>
          <t>époques, prérequis, probabilités, contre-leviers et combinaisons sont les valeurs du moteur, pas des estimations.</t>
        </is>
      </c>
    </row>
    <row r="7">
      <c r="A7" s="3" t="inlineStr">
        <is>
          <t>Onglet Non retenus — les leviers du catalogue d'août jamais construits, chacun avec le verdict qui l'écarte.</t>
        </is>
      </c>
    </row>
    <row r="8">
      <c r="A8" s="3" t="inlineStr">
        <is>
          <t>Onglet Correspondance — les identifiants qui ne désignent pas le même levier dans le catalogue d'août et dans le jeu.</t>
        </is>
      </c>
    </row>
    <row r="9">
      <c r="A9" s="3" t="inlineStr">
        <is>
          <t>Onglet Contrôles — répartitions et cohérence des contre-leviers, recalculées par formule à l'ouverture du fichier.</t>
        </is>
      </c>
    </row>
    <row r="10">
      <c r="A10" s="3" t="inlineStr"/>
    </row>
    <row r="11">
      <c r="A11" s="4" t="inlineStr">
        <is>
          <t>Comment il a été produit</t>
        </is>
      </c>
    </row>
    <row r="12">
      <c r="A12" s="3" t="inlineStr">
        <is>
          <t>Les colonnes descriptives sont lues dans le code du jeu : elles ne peuvent pas diverger de ce qui se joue.</t>
        </is>
      </c>
    </row>
    <row r="13">
      <c r="A13" s="3" t="inlineStr">
        <is>
          <t>Le fichier est régénérable à chaque version. C'est une photographie du jeu, pas un document à éditer à la main :</t>
        </is>
      </c>
    </row>
    <row r="14">
      <c r="A14" s="3" t="inlineStr">
        <is>
          <t>une correction saisie ici serait perdue à la prochaine génération, et elle ne changerait rien au jeu.</t>
        </is>
      </c>
    </row>
    <row r="15">
      <c r="A15" s="3" t="inlineStr">
        <is>
          <t>Trois colonnes ne viennent pas du code mais de l'arbitrage du 17 août 2026 : Puissance réelle, Verdict et Rôle.</t>
        </is>
      </c>
    </row>
    <row r="16">
      <c r="A16" s="3" t="inlineStr"/>
    </row>
    <row r="17">
      <c r="A17" s="4" t="inlineStr">
        <is>
          <t>La seule colonne à remplir</t>
        </is>
      </c>
    </row>
    <row r="18">
      <c r="A18" s="3" t="inlineStr">
        <is>
          <t>Puissance réelle (1-5) — l'effet documenté dans le monde réel, indépendant de l'effet de jeu. Elle existe pour les leviers</t>
        </is>
      </c>
    </row>
    <row r="19">
      <c r="A19" s="3" t="inlineStr">
        <is>
          <t>arbitrés en août. Les cellules sur fond jaune sont celles des leviers écrits depuis, dont la puissance n'a jamais été estimée.</t>
        </is>
      </c>
    </row>
    <row r="20">
      <c r="A20" s="2" t="inlineStr">
        <is>
          <t>Exemple de valeur attendue : 4 pour la tarification carbone nationale, effet large et documenté ; 1 pour un piège.</t>
        </is>
      </c>
    </row>
    <row r="21">
      <c r="A21" s="3" t="inlineStr"/>
    </row>
    <row r="22">
      <c r="A22" s="4" t="inlineStr">
        <is>
          <t>Avertissement</t>
        </is>
      </c>
    </row>
    <row r="23">
      <c r="A23" s="3" t="inlineStr">
        <is>
          <t>Les coûts, seuils et probabilités sont des paramètres de jeu calibrés pour l'équilibre, pas des grandeurs du monde réel.</t>
        </is>
      </c>
    </row>
    <row r="24">
      <c r="A24" s="3" t="inlineStr">
        <is>
          <t>Seules les colonnes Ancrage réel daté et Limite documentée renvoient à des faits, et chacune porte sa date.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1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15" customWidth="1" min="3" max="3"/>
    <col width="34" customWidth="1" min="4" max="4"/>
    <col width="22" customWidth="1" min="5" max="5"/>
    <col width="9" customWidth="1" min="6" max="6"/>
    <col width="8" customWidth="1" min="7" max="7"/>
    <col width="8" customWidth="1" min="8" max="8"/>
    <col width="8" customWidth="1" min="9" max="9"/>
    <col width="8" customWidth="1" min="10" max="10"/>
    <col width="8" customWidth="1" min="11" max="11"/>
    <col width="7" customWidth="1" min="12" max="12"/>
    <col width="34" customWidth="1" min="13" max="13"/>
    <col width="8" customWidth="1" min="14" max="14"/>
    <col width="16" customWidth="1" min="15" max="15"/>
    <col width="12" customWidth="1" min="16" max="16"/>
    <col width="9" customWidth="1" min="17" max="17"/>
    <col width="7" customWidth="1" min="18" max="18"/>
    <col width="30" customWidth="1" min="19" max="19"/>
    <col width="9" customWidth="1" min="20" max="20"/>
    <col width="46" customWidth="1" min="21" max="21"/>
    <col width="52" customWidth="1" min="22" max="22"/>
    <col width="52" customWidth="1" min="23" max="23"/>
    <col width="52" customWidth="1" min="24" max="24"/>
    <col width="44" customWidth="1" min="25" max="25"/>
  </cols>
  <sheetData>
    <row r="1" ht="30" customHeight="1">
      <c r="A1" s="5" t="inlineStr">
        <is>
          <t>ID</t>
        </is>
      </c>
      <c r="B1" s="5" t="inlineStr">
        <is>
          <t>Camp</t>
        </is>
      </c>
      <c r="C1" s="5" t="inlineStr">
        <is>
          <t>Famille</t>
        </is>
      </c>
      <c r="D1" s="5" t="inlineStr">
        <is>
          <t>Levier</t>
        </is>
      </c>
      <c r="E1" s="5" t="inlineStr">
        <is>
          <t>Alias polémique</t>
        </is>
      </c>
      <c r="F1" s="5" t="inlineStr">
        <is>
          <t>Portée</t>
        </is>
      </c>
      <c r="G1" s="5" t="inlineStr">
        <is>
          <t>Coût politique</t>
        </is>
      </c>
      <c r="H1" s="5" t="inlineStr">
        <is>
          <t>Coût capital</t>
        </is>
      </c>
      <c r="I1" s="5" t="inlineStr">
        <is>
          <t>Coût attention</t>
        </is>
      </c>
      <c r="J1" s="5" t="inlineStr">
        <is>
          <t>Latence (tours)</t>
        </is>
      </c>
      <c r="K1" s="5" t="inlineStr">
        <is>
          <t>Seuil de perçu</t>
        </is>
      </c>
      <c r="L1" s="5" t="inlineStr">
        <is>
          <t>Époque</t>
        </is>
      </c>
      <c r="M1" s="5" t="inlineStr">
        <is>
          <t>Prérequis</t>
        </is>
      </c>
      <c r="N1" s="5" t="inlineStr">
        <is>
          <t>Réussite (%)</t>
        </is>
      </c>
      <c r="O1" s="5" t="inlineStr">
        <is>
          <t>Réversibilité</t>
        </is>
      </c>
      <c r="P1" s="5" t="inlineStr">
        <is>
          <t>Robustesse</t>
        </is>
      </c>
      <c r="Q1" s="5" t="inlineStr">
        <is>
          <t>Contre-levier</t>
        </is>
      </c>
      <c r="R1" s="5" t="inlineStr">
        <is>
          <t>Piège</t>
        </is>
      </c>
      <c r="S1" s="5" t="inlineStr">
        <is>
          <t>Combinaisons</t>
        </is>
      </c>
      <c r="T1" s="5" t="inlineStr">
        <is>
          <t>Puissance réelle (1-5)</t>
        </is>
      </c>
      <c r="U1" s="5" t="inlineStr">
        <is>
          <t>Effet dans le jeu</t>
        </is>
      </c>
      <c r="V1" s="5" t="inlineStr">
        <is>
          <t>Mécanisme</t>
        </is>
      </c>
      <c r="W1" s="5" t="inlineStr">
        <is>
          <t>Ancrage réel daté</t>
        </is>
      </c>
      <c r="X1" s="5" t="inlineStr">
        <is>
          <t>Limite documentée</t>
        </is>
      </c>
      <c r="Y1" s="5" t="inlineStr">
        <is>
          <t>Rôle dans le jeu (arbitrage août)</t>
        </is>
      </c>
    </row>
    <row r="2">
      <c r="A2" s="6" t="inlineStr">
        <is>
          <t>A01</t>
        </is>
      </c>
      <c r="B2" s="6" t="inlineStr">
        <is>
          <t>Actif</t>
        </is>
      </c>
      <c r="C2" s="6" t="inlineStr">
        <is>
          <t>Réglementaire</t>
        </is>
      </c>
      <c r="D2" s="7" t="inlineStr">
        <is>
          <t>Tarification carbone nationale</t>
        </is>
      </c>
      <c r="E2" s="7" t="inlineStr">
        <is>
          <t>matraquage fiscal</t>
        </is>
      </c>
      <c r="F2" s="6" t="inlineStr">
        <is>
          <t>Bloc</t>
        </is>
      </c>
      <c r="G2" s="6" t="n">
        <v>4</v>
      </c>
      <c r="H2" s="6" t="inlineStr"/>
      <c r="I2" s="6" t="inlineStr"/>
      <c r="J2" s="6" t="inlineStr"/>
      <c r="K2" s="6" t="n">
        <v>45</v>
      </c>
      <c r="L2" s="6" t="n">
        <v>1</v>
      </c>
      <c r="M2" s="7" t="inlineStr"/>
      <c r="N2" s="6" t="n">
        <v>78</v>
      </c>
      <c r="O2" s="7" t="inlineStr">
        <is>
          <t>Facile à annuler</t>
        </is>
      </c>
      <c r="P2" s="6" t="inlineStr">
        <is>
          <t>Élevée</t>
        </is>
      </c>
      <c r="Q2" s="6" t="inlineStr">
        <is>
          <t>T60</t>
        </is>
      </c>
      <c r="R2" s="6" t="inlineStr"/>
      <c r="S2" s="7" t="inlineStr">
        <is>
          <t>Le chèque avec la taxe (avec A31)</t>
        </is>
      </c>
      <c r="T2" s="6" t="n">
        <v>4</v>
      </c>
      <c r="U2" s="7" t="inlineStr">
        <is>
          <t>Contrainte +20, friction +22. Friction divisée par deux si la redistribution a été installée.</t>
        </is>
      </c>
      <c r="V2" s="7" t="inlineStr">
        <is>
          <t>Un prix sur la tonne renchérit l'usage fossile dans toute l'économie du bloc, sans désigner de secteur. L'effet est large mais la douleur est visible et datée.</t>
        </is>
      </c>
      <c r="W2" s="7" t="inlineStr">
        <is>
          <t>Taxe carbone française 2014-2018, gelée en décembre 2018 après les Gilets jaunes. Prix du carbone suédois autour de 120 €/t depuis 2018, maintenu.</t>
        </is>
      </c>
      <c r="X2" s="7" t="inlineStr">
        <is>
          <t>Sans redistribution visible, la friction s'accumule jusqu'au retour de flamme : taxe française gelée en 2018, tarification australienne abrogée en 2014.</t>
        </is>
      </c>
      <c r="Y2" s="7" t="inlineStr">
        <is>
          <t>Noyau · Émissions — la tarification icônique, et le générateur de friction du jeu (paire avec A31)</t>
        </is>
      </c>
    </row>
    <row r="3">
      <c r="A3" s="6" t="inlineStr">
        <is>
          <t>A02</t>
        </is>
      </c>
      <c r="B3" s="6" t="inlineStr">
        <is>
          <t>Actif</t>
        </is>
      </c>
      <c r="C3" s="6" t="inlineStr">
        <is>
          <t>Réglementaire</t>
        </is>
      </c>
      <c r="D3" s="7" t="inlineStr">
        <is>
          <t>Marché de quotas (ETS)</t>
        </is>
      </c>
      <c r="E3" s="7" t="inlineStr">
        <is>
          <t>usine à gaz bruxelloise</t>
        </is>
      </c>
      <c r="F3" s="6" t="inlineStr">
        <is>
          <t>Bloc</t>
        </is>
      </c>
      <c r="G3" s="6" t="n">
        <v>3</v>
      </c>
      <c r="H3" s="6" t="inlineStr"/>
      <c r="I3" s="6" t="inlineStr"/>
      <c r="J3" s="6" t="inlineStr"/>
      <c r="K3" s="6" t="n">
        <v>45</v>
      </c>
      <c r="L3" s="6" t="n">
        <v>1</v>
      </c>
      <c r="M3" s="7" t="inlineStr"/>
      <c r="N3" s="6" t="n">
        <v>100</v>
      </c>
      <c r="O3" s="7" t="inlineStr">
        <is>
          <t>Difficile à annuler</t>
        </is>
      </c>
      <c r="P3" s="6" t="inlineStr">
        <is>
          <t>Élevée</t>
        </is>
      </c>
      <c r="Q3" s="6" t="inlineStr">
        <is>
          <t>T22</t>
        </is>
      </c>
      <c r="R3" s="6" t="inlineStr"/>
      <c r="S3" s="7" t="inlineStr">
        <is>
          <t>Plafond étanche (avec A03)</t>
        </is>
      </c>
      <c r="T3" s="6" t="n">
        <v>4</v>
      </c>
      <c r="U3" s="7" t="inlineStr">
        <is>
          <t>Contrainte +18, friction +9.</t>
        </is>
      </c>
      <c r="V3" s="7" t="inlineStr">
        <is>
          <t>Plafond décroissant sur les émetteurs, échangeable. Le coût passe par les prix sans jamais apparaître comme un impôt : friction citoyenne faible.</t>
        </is>
      </c>
      <c r="W3" s="7" t="inlineStr">
        <is>
          <t>EU ETS depuis 2005 ; prix passé de 5 € (2017) à plus de 80 €/t (2023). ETS2 bâtiment et transport prévu pour 2027.</t>
        </is>
      </c>
      <c r="X3" s="7" t="inlineStr">
        <is>
          <t>Vulnérable aux exemptions sectorielles obtenues discrètement : le plafond tient, le périmètre se vide.</t>
        </is>
      </c>
      <c r="Y3" s="7" t="inlineStr">
        <is>
          <t>Noyau · Émissions — l'outil de fond, plafond décroissant, faible friction citoyenne</t>
        </is>
      </c>
    </row>
    <row r="4">
      <c r="A4" s="6" t="inlineStr">
        <is>
          <t>A03</t>
        </is>
      </c>
      <c r="B4" s="6" t="inlineStr">
        <is>
          <t>Actif</t>
        </is>
      </c>
      <c r="C4" s="6" t="inlineStr">
        <is>
          <t>Réglementaire</t>
        </is>
      </c>
      <c r="D4" s="7" t="inlineStr">
        <is>
          <t>Ajustement carbone aux frontières</t>
        </is>
      </c>
      <c r="E4" s="7" t="inlineStr">
        <is>
          <t>protectionnisme vert</t>
        </is>
      </c>
      <c r="F4" s="6" t="inlineStr">
        <is>
          <t>Bloc</t>
        </is>
      </c>
      <c r="G4" s="6" t="n">
        <v>4</v>
      </c>
      <c r="H4" s="6" t="inlineStr"/>
      <c r="I4" s="6" t="inlineStr"/>
      <c r="J4" s="6" t="inlineStr"/>
      <c r="K4" s="6" t="n">
        <v>35</v>
      </c>
      <c r="L4" s="6" t="n">
        <v>2</v>
      </c>
      <c r="M4" s="7" t="inlineStr">
        <is>
          <t>un prix du carbone intérieur — sans lui, il n'y a rien à ajuster à la frontière</t>
        </is>
      </c>
      <c r="N4" s="6" t="n">
        <v>100</v>
      </c>
      <c r="O4" s="7" t="inlineStr">
        <is>
          <t>Difficile à annuler</t>
        </is>
      </c>
      <c r="P4" s="6" t="inlineStr">
        <is>
          <t>Moyenne</t>
        </is>
      </c>
      <c r="Q4" s="6" t="inlineStr">
        <is>
          <t>T53</t>
        </is>
      </c>
      <c r="R4" s="6" t="inlineStr"/>
      <c r="S4" s="7" t="inlineStr">
        <is>
          <t>Plafond étanche (avec A02)</t>
        </is>
      </c>
      <c r="T4" s="6" t="n">
        <v>3</v>
      </c>
      <c r="U4" s="7" t="inlineStr">
        <is>
          <t>Contrainte +12 ici, +5 sur les autres blocs riches. Immunise le bloc contre le whataboutisme.</t>
        </is>
      </c>
      <c r="V4" s="7" t="inlineStr">
        <is>
          <t>Taxe l'empreinte des importations au niveau du prix intérieur. Supprime l'argument « nos usines partiront ailleurs » en supprimant l'avantage du moins-disant.</t>
        </is>
      </c>
      <c r="W4" s="7" t="inlineStr">
        <is>
          <t>MACF/CBAM européen : phase déclarative depuis octobre 2023, financière à partir de 2026.</t>
        </is>
      </c>
      <c r="X4" s="7" t="inlineStr">
        <is>
          <t>Provoque des représailles commerciales et des accusations de protectionnisme vert de la part des blocs exportateurs.</t>
        </is>
      </c>
      <c r="Y4" s="7" t="inlineStr">
        <is>
          <t>Noyau · Émissions — contre structurel du whataboutisme (T02) et de la fuite de carbone (T53)</t>
        </is>
      </c>
    </row>
    <row r="5">
      <c r="A5" s="6" t="inlineStr">
        <is>
          <t>A04</t>
        </is>
      </c>
      <c r="B5" s="6" t="inlineStr">
        <is>
          <t>Actif</t>
        </is>
      </c>
      <c r="C5" s="6" t="inlineStr">
        <is>
          <t>Réglementaire</t>
        </is>
      </c>
      <c r="D5" s="7" t="inlineStr">
        <is>
          <t>Norme d'émission véhicules</t>
        </is>
      </c>
      <c r="E5" s="7" t="inlineStr">
        <is>
          <t>norme punitive</t>
        </is>
      </c>
      <c r="F5" s="6" t="inlineStr">
        <is>
          <t>Bloc</t>
        </is>
      </c>
      <c r="G5" s="6" t="n">
        <v>2</v>
      </c>
      <c r="H5" s="6" t="inlineStr"/>
      <c r="I5" s="6" t="inlineStr"/>
      <c r="J5" s="6" t="n">
        <v>1</v>
      </c>
      <c r="K5" s="6" t="inlineStr"/>
      <c r="L5" s="6" t="n">
        <v>1</v>
      </c>
      <c r="M5" s="7" t="inlineStr"/>
      <c r="N5" s="6" t="n">
        <v>100</v>
      </c>
      <c r="O5" s="7" t="inlineStr">
        <is>
          <t>Difficile à annuler</t>
        </is>
      </c>
      <c r="P5" s="6" t="inlineStr">
        <is>
          <t>Élevée</t>
        </is>
      </c>
      <c r="Q5" s="6" t="inlineStr">
        <is>
          <t>T52</t>
        </is>
      </c>
      <c r="R5" s="6" t="inlineStr"/>
      <c r="S5" s="7" t="inlineStr"/>
      <c r="T5" s="6" t="n">
        <v>4</v>
      </c>
      <c r="U5" s="7" t="inlineStr">
        <is>
          <t>Contrainte +19 au tour suivant, friction +7.</t>
        </is>
      </c>
      <c r="V5" s="7" t="inlineStr">
        <is>
          <t>Contraint les constructeurs, pas les conducteurs. Le coût est industriel, invisible du citoyen, et l'effet court sur tout le parc renouvelé.</t>
        </is>
      </c>
      <c r="W5" s="7" t="inlineStr">
        <is>
          <t>Règlement européen 95 gCO₂/km ; fin du thermique neuf actée pour 2035, avec clause de revoyure 2026.</t>
        </is>
      </c>
      <c r="X5" s="7" t="inlineStr">
        <is>
          <t>Cible privilégiée des exemptions technologiques : une niche inscrite dans le texte suffit à en vider l'effet.</t>
        </is>
      </c>
      <c r="Y5" s="7" t="inlineStr">
        <is>
          <t>Noyau · Émissions — contrainte industrielle sans coût budgétaire ; contre direct de T52</t>
        </is>
      </c>
    </row>
    <row r="6">
      <c r="A6" s="6" t="inlineStr">
        <is>
          <t>A05</t>
        </is>
      </c>
      <c r="B6" s="6" t="inlineStr">
        <is>
          <t>Actif</t>
        </is>
      </c>
      <c r="C6" s="6" t="inlineStr">
        <is>
          <t>Réglementaire</t>
        </is>
      </c>
      <c r="D6" s="7" t="inlineStr">
        <is>
          <t>Interdiction de vente datée</t>
        </is>
      </c>
      <c r="E6" s="7" t="inlineStr">
        <is>
          <t>interdiction idéologique</t>
        </is>
      </c>
      <c r="F6" s="6" t="inlineStr">
        <is>
          <t>Bloc</t>
        </is>
      </c>
      <c r="G6" s="6" t="n">
        <v>4</v>
      </c>
      <c r="H6" s="6" t="inlineStr"/>
      <c r="I6" s="6" t="inlineStr"/>
      <c r="J6" s="6" t="n">
        <v>1</v>
      </c>
      <c r="K6" s="6" t="n">
        <v>55</v>
      </c>
      <c r="L6" s="6" t="n">
        <v>2</v>
      </c>
      <c r="M6" s="7" t="inlineStr"/>
      <c r="N6" s="6" t="n">
        <v>72</v>
      </c>
      <c r="O6" s="7" t="inlineStr">
        <is>
          <t>Facile à annuler</t>
        </is>
      </c>
      <c r="P6" s="6" t="inlineStr">
        <is>
          <t>Moyenne</t>
        </is>
      </c>
      <c r="Q6" s="6" t="inlineStr">
        <is>
          <t>T71</t>
        </is>
      </c>
      <c r="R6" s="6" t="inlineStr"/>
      <c r="S6" s="7" t="inlineStr"/>
      <c r="T6" s="6" t="n">
        <v>5</v>
      </c>
      <c r="U6" s="7" t="inlineStr">
        <is>
          <t>Contrainte +27 au tour suivant, friction +17.</t>
        </is>
      </c>
      <c r="V6" s="7" t="inlineStr">
        <is>
          <t>Une date butoir déclenche l'anticipation industrielle bien avant l'échéance : les investissements se réorientent dès l'annonce.</t>
        </is>
      </c>
      <c r="W6" s="7" t="inlineStr">
        <is>
          <t>Fin du thermique neuf 2035 (UE) ; interdiction des chaudières fioul en France en 2022 ; interdiction des ampoules à incandescence.</t>
        </is>
      </c>
      <c r="X6" s="7" t="inlineStr">
        <is>
          <t>Plus la date est lointaine, plus elle est facile à voter et à annuler. Une clause de revoyure suffit à la rouvrir.</t>
        </is>
      </c>
      <c r="Y6" s="7" t="inlineStr">
        <is>
          <t>Noyau · Émissions — déclenche l'anticipation industrielle dès l'annonce (puissance 5)</t>
        </is>
      </c>
    </row>
    <row r="7">
      <c r="A7" s="6" t="inlineStr">
        <is>
          <t>A07</t>
        </is>
      </c>
      <c r="B7" s="6" t="inlineStr">
        <is>
          <t>Actif</t>
        </is>
      </c>
      <c r="C7" s="6" t="inlineStr">
        <is>
          <t>Réglementaire</t>
        </is>
      </c>
      <c r="D7" s="7" t="inlineStr">
        <is>
          <t>Fin des subventions aux fossiles</t>
        </is>
      </c>
      <c r="E7" s="7" t="inlineStr">
        <is>
          <t>hausse des prix à la pompe</t>
        </is>
      </c>
      <c r="F7" s="6" t="inlineStr">
        <is>
          <t>Mondial</t>
        </is>
      </c>
      <c r="G7" s="6" t="n">
        <v>5</v>
      </c>
      <c r="H7" s="6" t="inlineStr"/>
      <c r="I7" s="6" t="inlineStr"/>
      <c r="J7" s="6" t="inlineStr"/>
      <c r="K7" s="6" t="inlineStr"/>
      <c r="L7" s="6" t="n">
        <v>1</v>
      </c>
      <c r="M7" s="7" t="inlineStr"/>
      <c r="N7" s="6" t="n">
        <v>50</v>
      </c>
      <c r="O7" s="7" t="inlineStr">
        <is>
          <t>Facile à annuler</t>
        </is>
      </c>
      <c r="P7" s="6" t="inlineStr">
        <is>
          <t>Élevée</t>
        </is>
      </c>
      <c r="Q7" s="6" t="inlineStr">
        <is>
          <t>T39</t>
        </is>
      </c>
      <c r="R7" s="6" t="inlineStr"/>
      <c r="S7" s="7" t="inlineStr"/>
      <c r="T7" s="6" t="n">
        <v>5</v>
      </c>
      <c r="U7" s="7" t="inlineStr">
        <is>
          <t>Contrainte +9 et friction +11 sur tous les blocs.</t>
        </is>
      </c>
      <c r="V7" s="7" t="inlineStr">
        <is>
          <t>Supprime la subvention à la consommation fossile. Aucune technologie à déployer, aucun délai de mise en œuvre : seulement une décision budgétaire.</t>
        </is>
      </c>
      <c r="W7" s="7" t="inlineStr">
        <is>
          <t>Engagement du G20 depuis 2009 ; subventions explicites toujours de l'ordre de 1 200 Md$/an selon le FMI.</t>
        </is>
      </c>
      <c r="X7" s="7" t="inlineStr">
        <is>
          <t>Politiquement très difficile : dans plusieurs blocs, le prix subventionné du carburant tient lieu de contrat social, et sa suppression a déclenché des émeutes.</t>
        </is>
      </c>
      <c r="Y7" s="7" t="inlineStr">
        <is>
          <t>Noyau · Émissions — meilleur rapport effet/coût du catalogue, portée mondiale</t>
        </is>
      </c>
    </row>
    <row r="8">
      <c r="A8" s="8" t="inlineStr">
        <is>
          <t>A09</t>
        </is>
      </c>
      <c r="B8" s="8" t="inlineStr">
        <is>
          <t>Actif</t>
        </is>
      </c>
      <c r="C8" s="8" t="inlineStr">
        <is>
          <t>Narratif</t>
        </is>
      </c>
      <c r="D8" s="9" t="inlineStr">
        <is>
          <t>Objectif net zéro 2050</t>
        </is>
      </c>
      <c r="E8" s="9" t="inlineStr"/>
      <c r="F8" s="8" t="inlineStr">
        <is>
          <t>Mondial</t>
        </is>
      </c>
      <c r="G8" s="8" t="inlineStr"/>
      <c r="H8" s="8" t="inlineStr"/>
      <c r="I8" s="8" t="n">
        <v>1</v>
      </c>
      <c r="J8" s="8" t="inlineStr"/>
      <c r="K8" s="8" t="inlineStr"/>
      <c r="L8" s="8" t="n">
        <v>1</v>
      </c>
      <c r="M8" s="9" t="inlineStr"/>
      <c r="N8" s="8" t="n">
        <v>100</v>
      </c>
      <c r="O8" s="9" t="inlineStr">
        <is>
          <t>Facile à annuler</t>
        </is>
      </c>
      <c r="P8" s="8" t="inlineStr">
        <is>
          <t>Faible</t>
        </is>
      </c>
      <c r="Q8" s="8" t="inlineStr">
        <is>
          <t>A12</t>
        </is>
      </c>
      <c r="R8" s="8" t="inlineStr">
        <is>
          <t>oui</t>
        </is>
      </c>
      <c r="S8" s="9" t="inlineStr"/>
      <c r="T8" s="8" t="n">
        <v>1</v>
      </c>
      <c r="U8" s="9" t="inlineStr">
        <is>
          <t>Perçu +9 partout immédiatement. Aucune contrainte, jamais.</t>
        </is>
      </c>
      <c r="V8" s="9" t="inlineStr">
        <is>
          <t>Marque des points d'opinion sans engager la moindre décision : aucune étape intermédiaire, aucun décideur en exercice concerné.</t>
        </is>
      </c>
      <c r="W8" s="9" t="inlineStr">
        <is>
          <t>Généralisation des annonces net zéro 2050 sans trajectoire 2030 intermédiaire.</t>
        </is>
      </c>
      <c r="X8" s="9" t="inlineStr">
        <is>
          <t>Un objectif à trente-cinq ans sans étape intermédiaire n'engage aucun décideur en exercice. Les émissions, elles, se comptent chaque année.</t>
        </is>
      </c>
      <c r="Y8" s="9" t="inlineStr">
        <is>
          <t>Noyau · Piège — le plus répandu. Points d'opinion immédiats, zéro tonne évitée</t>
        </is>
      </c>
    </row>
    <row r="9">
      <c r="A9" s="6" t="inlineStr">
        <is>
          <t>A10</t>
        </is>
      </c>
      <c r="B9" s="6" t="inlineStr">
        <is>
          <t>Actif</t>
        </is>
      </c>
      <c r="C9" s="6" t="inlineStr">
        <is>
          <t>Réglementaire</t>
        </is>
      </c>
      <c r="D9" s="7" t="inlineStr">
        <is>
          <t>Normes d'efficacité des appareils</t>
        </is>
      </c>
      <c r="E9" s="7" t="inlineStr"/>
      <c r="F9" s="6" t="inlineStr">
        <is>
          <t>Bloc</t>
        </is>
      </c>
      <c r="G9" s="6" t="n">
        <v>1</v>
      </c>
      <c r="H9" s="6" t="inlineStr"/>
      <c r="I9" s="6" t="inlineStr"/>
      <c r="J9" s="6" t="inlineStr"/>
      <c r="K9" s="6" t="inlineStr"/>
      <c r="L9" s="6" t="n">
        <v>1</v>
      </c>
      <c r="M9" s="7" t="inlineStr"/>
      <c r="N9" s="6" t="n">
        <v>100</v>
      </c>
      <c r="O9" s="7" t="inlineStr">
        <is>
          <t>Difficile à annuler</t>
        </is>
      </c>
      <c r="P9" s="6" t="inlineStr">
        <is>
          <t>Élevée</t>
        </is>
      </c>
      <c r="Q9" s="6" t="inlineStr">
        <is>
          <t>T73</t>
        </is>
      </c>
      <c r="R9" s="6" t="inlineStr"/>
      <c r="S9" s="7" t="inlineStr"/>
      <c r="T9" s="6" t="n">
        <v>3</v>
      </c>
      <c r="U9" s="7" t="inlineStr">
        <is>
          <t>Contrainte +11, friction +1. Aucun contre-levier connu.</t>
        </is>
      </c>
      <c r="V9" s="7" t="inlineStr">
        <is>
          <t>Retire du marché les produits les moins efficaces. Effet cumulatif sur des décennies, sans que personne ne s'en aperçoive.</t>
        </is>
      </c>
      <c r="W9" s="7" t="inlineStr">
        <is>
          <t>Étiquetage énergétique et écoconception UE ; sortie de l'incandescence. Consommation moyenne d'un réfrigérateur divisée par trois depuis 1990.</t>
        </is>
      </c>
      <c r="X9" s="7" t="inlineStr">
        <is>
          <t>Aucun effet spectaculaire, donc aucun gain d'opinion — et aussi peu de prise pour l'adversaire, qui n'a pas d'angle d'attaque sur un seuil technique.</t>
        </is>
      </c>
      <c r="Y9" s="7" t="inlineStr">
        <is>
          <t>Noyau · Émissions — le levier invisible : coût 1, aucun contre-levier. Enseigne que l'efficace n'est pas spectaculaire</t>
        </is>
      </c>
    </row>
    <row r="10">
      <c r="A10" s="6" t="inlineStr">
        <is>
          <t>A11</t>
        </is>
      </c>
      <c r="B10" s="6" t="inlineStr">
        <is>
          <t>Actif</t>
        </is>
      </c>
      <c r="C10" s="6" t="inlineStr">
        <is>
          <t>Réglementaire</t>
        </is>
      </c>
      <c r="D10" s="7" t="inlineStr">
        <is>
          <t>Réduction des fuites de méthane</t>
        </is>
      </c>
      <c r="E10" s="7" t="inlineStr">
        <is>
          <t>contrainte sur les éleveurs</t>
        </is>
      </c>
      <c r="F10" s="6" t="inlineStr">
        <is>
          <t>Bloc</t>
        </is>
      </c>
      <c r="G10" s="6" t="n">
        <v>2</v>
      </c>
      <c r="H10" s="6" t="inlineStr"/>
      <c r="I10" s="6" t="inlineStr"/>
      <c r="J10" s="6" t="inlineStr"/>
      <c r="K10" s="6" t="n">
        <v>25</v>
      </c>
      <c r="L10" s="6" t="n">
        <v>1</v>
      </c>
      <c r="M10" s="7" t="inlineStr"/>
      <c r="N10" s="6" t="n">
        <v>100</v>
      </c>
      <c r="O10" s="7" t="inlineStr">
        <is>
          <t>Difficile à annuler</t>
        </is>
      </c>
      <c r="P10" s="6" t="inlineStr">
        <is>
          <t>Élevée</t>
        </is>
      </c>
      <c r="Q10" s="6" t="inlineStr">
        <is>
          <t>T22</t>
        </is>
      </c>
      <c r="R10" s="6" t="inlineStr"/>
      <c r="S10" s="7" t="inlineStr">
        <is>
          <t>Le coup de Kigali (avec A67)</t>
        </is>
      </c>
      <c r="T10" s="6" t="n">
        <v>4</v>
      </c>
      <c r="U10" s="7" t="inlineStr">
        <is>
          <t>Contrainte +13, friction +2. Effet en quelques années, contre une à deux décennies pour la plupart des autres.</t>
        </is>
      </c>
      <c r="V10" s="7" t="inlineStr">
        <is>
          <t>Le méthane a un pouvoir de réchauffement 80 fois supérieur au CO₂ sur vingt ans, mais une durée de vie courte : colmater agit dans la décennie, pas dans le siècle.</t>
        </is>
      </c>
      <c r="W10" s="7" t="inlineStr">
        <is>
          <t>Global Methane Pledge (2021), plus de 150 signataires ; règlement méthane européen (2024) ; détection satellitaire opérationnelle depuis 2023.</t>
        </is>
      </c>
      <c r="X10" s="7" t="inlineStr">
        <is>
          <t>Ne remplace rien : c'est un gain de temps, pas une trajectoire. Le CO₂ reste le stock qui compte.</t>
        </is>
      </c>
      <c r="Y10" s="7" t="inlineStr">
        <is>
          <t>Noyau · Émissions — le SEUL levier actif à effet rapide. Indispensable à l'équilibrage</t>
        </is>
      </c>
    </row>
    <row r="11">
      <c r="A11" s="6" t="inlineStr">
        <is>
          <t>A12</t>
        </is>
      </c>
      <c r="B11" s="6" t="inlineStr">
        <is>
          <t>Actif</t>
        </is>
      </c>
      <c r="C11" s="6" t="inlineStr">
        <is>
          <t>Réglementaire</t>
        </is>
      </c>
      <c r="D11" s="7" t="inlineStr">
        <is>
          <t>Loi-cadre climat contraignante</t>
        </is>
      </c>
      <c r="E11" s="7" t="inlineStr">
        <is>
          <t>carcan juridique</t>
        </is>
      </c>
      <c r="F11" s="6" t="inlineStr">
        <is>
          <t>Bloc</t>
        </is>
      </c>
      <c r="G11" s="6" t="n">
        <v>5</v>
      </c>
      <c r="H11" s="6" t="inlineStr"/>
      <c r="I11" s="6" t="inlineStr"/>
      <c r="J11" s="6" t="inlineStr"/>
      <c r="K11" s="6" t="n">
        <v>55</v>
      </c>
      <c r="L11" s="6" t="n">
        <v>2</v>
      </c>
      <c r="M11" s="7" t="inlineStr"/>
      <c r="N11" s="6" t="n">
        <v>62</v>
      </c>
      <c r="O11" s="7" t="inlineStr">
        <is>
          <t>Irréversible</t>
        </is>
      </c>
      <c r="P11" s="6" t="inlineStr">
        <is>
          <t>Élevée</t>
        </is>
      </c>
      <c r="Q11" s="6" t="inlineStr">
        <is>
          <t>T21</t>
        </is>
      </c>
      <c r="R11" s="6" t="inlineStr"/>
      <c r="S11" s="7" t="inlineStr">
        <is>
          <t>Trajectoire opposable (avec A63)</t>
        </is>
      </c>
      <c r="T11" s="6" t="n">
        <v>5</v>
      </c>
      <c r="U11" s="7" t="inlineStr">
        <is>
          <t>Verrouille le bloc : les mesures y résistent au retour de flamme et aux exemptions.</t>
        </is>
      </c>
      <c r="V11" s="7" t="inlineStr">
        <is>
          <t>Inscrit une trajectoire et un budget carbone dans la loi. Les mesures suivantes deviennent l'exécution d'une obligation, plus des choix révocables.</t>
        </is>
      </c>
      <c r="W11" s="7" t="inlineStr">
        <is>
          <t>UK Climate Change Act (2008), adopté à cinq voix contre. Loi Énergie-Climat française (2019).</t>
        </is>
      </c>
      <c r="X11" s="7" t="inlineStr">
        <is>
          <t>Exige un perçu élevé au moment du vote. Après polarisation, la fenêtre se referme pour toute la partie.</t>
        </is>
      </c>
      <c r="Y11" s="7" t="inlineStr">
        <is>
          <t>Pilier · Verrou — budgets pluriannuels contraignants, chaque écart devient attaquable</t>
        </is>
      </c>
    </row>
    <row r="12">
      <c r="A12" s="6" t="inlineStr">
        <is>
          <t>A15</t>
        </is>
      </c>
      <c r="B12" s="6" t="inlineStr">
        <is>
          <t>Actif</t>
        </is>
      </c>
      <c r="C12" s="6" t="inlineStr">
        <is>
          <t>Réglementaire</t>
        </is>
      </c>
      <c r="D12" s="7" t="inlineStr">
        <is>
          <t>Reporting extra-financier obligatoire</t>
        </is>
      </c>
      <c r="E12" s="7" t="inlineStr">
        <is>
          <t>paperasse extra-financière</t>
        </is>
      </c>
      <c r="F12" s="6" t="inlineStr">
        <is>
          <t>Bloc</t>
        </is>
      </c>
      <c r="G12" s="6" t="n">
        <v>2</v>
      </c>
      <c r="H12" s="6" t="inlineStr"/>
      <c r="I12" s="6" t="inlineStr"/>
      <c r="J12" s="6" t="inlineStr"/>
      <c r="K12" s="6" t="inlineStr"/>
      <c r="L12" s="6" t="n">
        <v>2</v>
      </c>
      <c r="M12" s="7" t="inlineStr"/>
      <c r="N12" s="6" t="n">
        <v>100</v>
      </c>
      <c r="O12" s="7" t="inlineStr">
        <is>
          <t>Facile à annuler</t>
        </is>
      </c>
      <c r="P12" s="6" t="inlineStr">
        <is>
          <t>Moyenne</t>
        </is>
      </c>
      <c r="Q12" s="6" t="inlineStr">
        <is>
          <t>T70</t>
        </is>
      </c>
      <c r="R12" s="6" t="inlineStr"/>
      <c r="S12" s="7" t="inlineStr"/>
      <c r="T12" s="6" t="n">
        <v>3</v>
      </c>
      <c r="U12" s="7" t="inlineStr">
        <is>
          <t>Contrainte +7 et perçu +5 : l'exposition carbone devient visible des investisseurs.</t>
        </is>
      </c>
      <c r="V12" s="7" t="inlineStr">
        <is>
          <t>Ce qui est mesuré et publié devient un risque financier. Le capital se retire avant que la réglementation ne morde.</t>
        </is>
      </c>
      <c r="W12" s="7" t="inlineStr">
        <is>
          <t>CSRD européenne (2022), largement allégée par le paquet omnibus de 2025.</t>
        </is>
      </c>
      <c r="X12" s="7" t="inlineStr">
        <is>
          <t>Démontré détricotable : la simplification administrative vide la norme sans jamais l'abroger.</t>
        </is>
      </c>
      <c r="Y12" s="7" t="inlineStr">
        <is>
          <t>Noyau · Verrou — PROMU : contre-levier de quatre cartes du noyau (T05, T20, T51, P01). Charnière de la couche institutionnelle</t>
        </is>
      </c>
    </row>
    <row r="13">
      <c r="A13" s="6" t="inlineStr">
        <is>
          <t>A17</t>
        </is>
      </c>
      <c r="B13" s="6" t="inlineStr">
        <is>
          <t>Actif</t>
        </is>
      </c>
      <c r="C13" s="6" t="inlineStr">
        <is>
          <t>Réglementaire</t>
        </is>
      </c>
      <c r="D13" s="7" t="inlineStr">
        <is>
          <t>Interdiction de la publicité fossile</t>
        </is>
      </c>
      <c r="E13" s="7" t="inlineStr">
        <is>
          <t>censure publicitaire</t>
        </is>
      </c>
      <c r="F13" s="6" t="inlineStr">
        <is>
          <t>Bloc</t>
        </is>
      </c>
      <c r="G13" s="6" t="n">
        <v>2</v>
      </c>
      <c r="H13" s="6" t="inlineStr"/>
      <c r="I13" s="6" t="inlineStr"/>
      <c r="J13" s="6" t="inlineStr"/>
      <c r="K13" s="6" t="n">
        <v>40</v>
      </c>
      <c r="L13" s="6" t="n">
        <v>2</v>
      </c>
      <c r="M13" s="7" t="inlineStr"/>
      <c r="N13" s="6" t="n">
        <v>70</v>
      </c>
      <c r="O13" s="7" t="inlineStr">
        <is>
          <t>Facile à annuler</t>
        </is>
      </c>
      <c r="P13" s="6" t="inlineStr">
        <is>
          <t>Moyenne</t>
        </is>
      </c>
      <c r="Q13" s="6" t="inlineStr">
        <is>
          <t>T31</t>
        </is>
      </c>
      <c r="R13" s="6" t="inlineStr"/>
      <c r="S13" s="7" t="inlineStr">
        <is>
          <t>Coupure médiatique (avec A54)</t>
        </is>
      </c>
      <c r="T13" s="6" t="n">
        <v>2</v>
      </c>
      <c r="U13" s="7" t="inlineStr">
        <is>
          <t>L'adversaire perd 1 point d'Attention pendant deux tours.</t>
        </is>
      </c>
      <c r="V13" s="7" t="inlineStr">
        <is>
          <t>Coupe l'accès du camp adverse à sa ressource principale. Effet indirect, mais il s'applique à toutes ses campagnes suivantes.</t>
        </is>
      </c>
      <c r="W13" s="7" t="inlineStr">
        <is>
          <t>Amsterdam (2020) ; loi Climat et Résilience française (2021), périmètre finalement restreint au fossile pur.</t>
        </is>
      </c>
      <c r="X13" s="7" t="inlineStr">
        <is>
          <t>Le greenwashing contourne l'interdiction en déplaçant le message vers l'entreprise plutôt que le produit.</t>
        </is>
      </c>
      <c r="Y13" s="7" t="inlineStr">
        <is>
          <t>Signature — le seul levier actif qui attaque directement la ressource Attention adverse</t>
        </is>
      </c>
    </row>
    <row r="14">
      <c r="A14" s="6" t="inlineStr">
        <is>
          <t>A18</t>
        </is>
      </c>
      <c r="B14" s="6" t="inlineStr">
        <is>
          <t>Actif</t>
        </is>
      </c>
      <c r="C14" s="6" t="inlineStr">
        <is>
          <t>Économique</t>
        </is>
      </c>
      <c r="D14" s="7" t="inlineStr">
        <is>
          <t>Subvention massive au déploiement</t>
        </is>
      </c>
      <c r="E14" s="7" t="inlineStr">
        <is>
          <t>gouffre à subventions</t>
        </is>
      </c>
      <c r="F14" s="6" t="inlineStr">
        <is>
          <t>Mondial</t>
        </is>
      </c>
      <c r="G14" s="6" t="inlineStr"/>
      <c r="H14" s="6" t="n">
        <v>5</v>
      </c>
      <c r="I14" s="6" t="inlineStr"/>
      <c r="J14" s="6" t="n">
        <v>2</v>
      </c>
      <c r="K14" s="6" t="inlineStr"/>
      <c r="L14" s="6" t="n">
        <v>1</v>
      </c>
      <c r="M14" s="7" t="inlineStr"/>
      <c r="N14" s="6" t="n">
        <v>100</v>
      </c>
      <c r="O14" s="7" t="inlineStr">
        <is>
          <t>Difficile à annuler</t>
        </is>
      </c>
      <c r="P14" s="6" t="inlineStr">
        <is>
          <t>Élevée</t>
        </is>
      </c>
      <c r="Q14" s="6" t="inlineStr">
        <is>
          <t>T67</t>
        </is>
      </c>
      <c r="R14" s="6" t="inlineStr"/>
      <c r="S14" s="7" t="inlineStr">
        <is>
          <t>La courbe s'effondre (avec A40)</t>
        </is>
      </c>
      <c r="T14" s="6" t="n">
        <v>5</v>
      </c>
      <c r="U14" s="7" t="inlineStr">
        <is>
          <t>Indice technologique +18 dans deux tours. Profite à tous les blocs, y compris à l'adversaire.</t>
        </is>
      </c>
      <c r="V14" s="7" t="inlineStr">
        <is>
          <t>Payer le déploiement fait descendre la courbe d'apprentissage. Le prix baisse pour tout le monde, définitivement.</t>
        </is>
      </c>
      <c r="W14" s="7" t="inlineStr">
        <is>
          <t>EEG allemand 2000-2015, environ 200 Md€, à l'origine de la chute mondiale du prix du photovoltaïque (−90 % entre 2010 et 2020).</t>
        </is>
      </c>
      <c r="X14" s="7" t="inlineStr">
        <is>
          <t>Passager clandestin inversé : vous payez, les autres blocs en bénéficient gratuitement. Le gain d'opinion national est nul.</t>
        </is>
      </c>
      <c r="Y14" s="7" t="inlineStr">
        <is>
          <t>Noyau · Émissions — courbe d'apprentissage : payé par un bloc, bénéficie à tous. Prouve mécaniquement que l'action marche</t>
        </is>
      </c>
    </row>
    <row r="15">
      <c r="A15" s="6" t="inlineStr">
        <is>
          <t>A19</t>
        </is>
      </c>
      <c r="B15" s="6" t="inlineStr">
        <is>
          <t>Actif</t>
        </is>
      </c>
      <c r="C15" s="6" t="inlineStr">
        <is>
          <t>Économique</t>
        </is>
      </c>
      <c r="D15" s="7" t="inlineStr">
        <is>
          <t>Politique industrielle verte</t>
        </is>
      </c>
      <c r="E15" s="7" t="inlineStr">
        <is>
          <t>subventions clientélistes</t>
        </is>
      </c>
      <c r="F15" s="6" t="inlineStr">
        <is>
          <t>Bloc</t>
        </is>
      </c>
      <c r="G15" s="6" t="inlineStr"/>
      <c r="H15" s="6" t="n">
        <v>5</v>
      </c>
      <c r="I15" s="6" t="inlineStr"/>
      <c r="J15" s="6" t="inlineStr"/>
      <c r="K15" s="6" t="inlineStr"/>
      <c r="L15" s="6" t="n">
        <v>1</v>
      </c>
      <c r="M15" s="7" t="inlineStr"/>
      <c r="N15" s="6" t="n">
        <v>100</v>
      </c>
      <c r="O15" s="7" t="inlineStr">
        <is>
          <t>Facile à annuler</t>
        </is>
      </c>
      <c r="P15" s="6" t="inlineStr">
        <is>
          <t>Élevée</t>
        </is>
      </c>
      <c r="Q15" s="6" t="inlineStr">
        <is>
          <t>T50</t>
        </is>
      </c>
      <c r="R15" s="6" t="inlineStr"/>
      <c r="S15" s="7" t="inlineStr"/>
      <c r="T15" s="6" t="n">
        <v>4</v>
      </c>
      <c r="U15" s="7" t="inlineStr">
        <is>
          <t>Contrainte +16, friction −4. Achète l'adhésion au lieu de contraindre.</t>
        </is>
      </c>
      <c r="V15" s="7" t="inlineStr">
        <is>
          <t>Crédits d'impôt et commandes publiques rendent la décarbonation rentable. Les industriels deviennent la coalition au lieu de l'opposition.</t>
        </is>
      </c>
      <c r="W15" s="7" t="inlineStr">
        <is>
          <t>Inflation Reduction Act américain (2022), environ 369 Md$ climat ; Net-Zero Industry Act européen.</t>
        </is>
      </c>
      <c r="X15" s="7" t="inlineStr">
        <is>
          <t>Cible directe de la capture de subvention : l'aide est encaissée sans que la trajectoire change.</t>
        </is>
      </c>
      <c r="Y15" s="7" t="inlineStr">
        <is>
          <t>Noyau · Coalition — acheter l'adhésion plutôt que contraindre ; cible du piège T50</t>
        </is>
      </c>
    </row>
    <row r="16">
      <c r="A16" s="6" t="inlineStr">
        <is>
          <t>A20</t>
        </is>
      </c>
      <c r="B16" s="6" t="inlineStr">
        <is>
          <t>Actif</t>
        </is>
      </c>
      <c r="C16" s="6" t="inlineStr">
        <is>
          <t>Économique</t>
        </is>
      </c>
      <c r="D16" s="7" t="inlineStr">
        <is>
          <t>Contrat pour différence</t>
        </is>
      </c>
      <c r="E16" s="7" t="inlineStr">
        <is>
          <t>prix garantis à vie</t>
        </is>
      </c>
      <c r="F16" s="6" t="inlineStr">
        <is>
          <t>Bloc</t>
        </is>
      </c>
      <c r="G16" s="6" t="inlineStr"/>
      <c r="H16" s="6" t="n">
        <v>3</v>
      </c>
      <c r="I16" s="6" t="inlineStr"/>
      <c r="J16" s="6" t="inlineStr"/>
      <c r="K16" s="6" t="inlineStr"/>
      <c r="L16" s="6" t="n">
        <v>2</v>
      </c>
      <c r="M16" s="7" t="inlineStr">
        <is>
          <t>une politique industrielle ou une subvention au déploiement déjà engagée</t>
        </is>
      </c>
      <c r="N16" s="6" t="n">
        <v>100</v>
      </c>
      <c r="O16" s="7" t="inlineStr">
        <is>
          <t>Difficile à annuler</t>
        </is>
      </c>
      <c r="P16" s="6" t="inlineStr">
        <is>
          <t>Élevée</t>
        </is>
      </c>
      <c r="Q16" s="6" t="inlineStr">
        <is>
          <t>T66</t>
        </is>
      </c>
      <c r="R16" s="6" t="inlineStr"/>
      <c r="S16" s="7" t="inlineStr">
        <is>
          <t>Capital dérisqué (avec A21)</t>
        </is>
      </c>
      <c r="T16" s="6" t="n">
        <v>4</v>
      </c>
      <c r="U16" s="7" t="inlineStr">
        <is>
          <t>Contrainte +14, et plafond +6 s'il a été abaissé par l'adversaire. Le coût du capital chute.</t>
        </is>
      </c>
      <c r="V16" s="7" t="inlineStr">
        <is>
          <t>L'État garantit un prix de vente. Le risque disparaît, le taux d'actualisation s'effondre, le projet se finance.</t>
        </is>
      </c>
      <c r="W16" s="7" t="inlineStr">
        <is>
          <t>CfD britanniques sur l'éolien en mer : prix adjugés divisés par trois entre 2015 et 2022.</t>
        </is>
      </c>
      <c r="X16" s="7" t="inlineStr">
        <is>
          <t>Levier discret et sans récit : il ne rapporte aucun point d'opinion, ce qui le rend rarement prioritaire.</t>
        </is>
      </c>
      <c r="Y16" s="7" t="inlineStr">
        <is>
          <t>Noyau · Émissions — PROMU : contre du piège P07. C'est le CfD qui rend le CCS sur centrale économiquement absurde</t>
        </is>
      </c>
    </row>
    <row r="17">
      <c r="A17" s="6" t="inlineStr">
        <is>
          <t>A21</t>
        </is>
      </c>
      <c r="B17" s="6" t="inlineStr">
        <is>
          <t>Actif</t>
        </is>
      </c>
      <c r="C17" s="6" t="inlineStr">
        <is>
          <t>Technologique</t>
        </is>
      </c>
      <c r="D17" s="7" t="inlineStr">
        <is>
          <t>Réseau électrique et stockage</t>
        </is>
      </c>
      <c r="E17" s="7" t="inlineStr"/>
      <c r="F17" s="6" t="inlineStr">
        <is>
          <t>Bloc</t>
        </is>
      </c>
      <c r="G17" s="6" t="inlineStr"/>
      <c r="H17" s="6" t="n">
        <v>4</v>
      </c>
      <c r="I17" s="6" t="inlineStr"/>
      <c r="J17" s="6" t="inlineStr"/>
      <c r="K17" s="6" t="inlineStr"/>
      <c r="L17" s="6" t="n">
        <v>1</v>
      </c>
      <c r="M17" s="7" t="inlineStr"/>
      <c r="N17" s="6" t="n">
        <v>100</v>
      </c>
      <c r="O17" s="7" t="inlineStr">
        <is>
          <t>Difficile à annuler</t>
        </is>
      </c>
      <c r="P17" s="6" t="inlineStr">
        <is>
          <t>Élevée</t>
        </is>
      </c>
      <c r="Q17" s="6" t="inlineStr">
        <is>
          <t>T40</t>
        </is>
      </c>
      <c r="R17" s="6" t="inlineStr"/>
      <c r="S17" s="7" t="inlineStr">
        <is>
          <t>Capital dérisqué (avec A20)</t>
        </is>
      </c>
      <c r="T17" s="6" t="n">
        <v>4</v>
      </c>
      <c r="U17" s="7" t="inlineStr">
        <is>
          <t>Contrainte +6, et plafond +18 s'il a été abaissé. Prérequis physique de tous les leviers électriques.</t>
        </is>
      </c>
      <c r="V17" s="7" t="inlineStr">
        <is>
          <t>Sans réseau ni flexibilité, l'électrification sature : les renouvelables sont écrêtés et les usages ne basculent pas.</t>
        </is>
      </c>
      <c r="W17" s="7" t="inlineStr">
        <is>
          <t>Files d'attente de raccordement de plusieurs années en Europe et aux États-Unis ; le réseau est devenu le premier goulot.</t>
        </is>
      </c>
      <c r="X17" s="7" t="inlineStr">
        <is>
          <t>Aucun effet visible dans le tour. C'est un levier qui n'existe que par ce qu'il rend possible ensuite.</t>
        </is>
      </c>
      <c r="Y17" s="7" t="inlineStr">
        <is>
          <t>Noyau · Émissions — prérequis physique : sans réseau, les leviers électriques saturent</t>
        </is>
      </c>
    </row>
    <row r="18">
      <c r="A18" s="8" t="inlineStr">
        <is>
          <t>A22</t>
        </is>
      </c>
      <c r="B18" s="8" t="inlineStr">
        <is>
          <t>Actif</t>
        </is>
      </c>
      <c r="C18" s="8" t="inlineStr">
        <is>
          <t>Économique</t>
        </is>
      </c>
      <c r="D18" s="9" t="inlineStr">
        <is>
          <t>Compensation carbone volontaire</t>
        </is>
      </c>
      <c r="E18" s="9" t="inlineStr"/>
      <c r="F18" s="8" t="inlineStr">
        <is>
          <t>Bloc</t>
        </is>
      </c>
      <c r="G18" s="8" t="inlineStr"/>
      <c r="H18" s="8" t="n">
        <v>1</v>
      </c>
      <c r="I18" s="8" t="inlineStr"/>
      <c r="J18" s="8" t="inlineStr"/>
      <c r="K18" s="8" t="inlineStr"/>
      <c r="L18" s="8" t="n">
        <v>1</v>
      </c>
      <c r="M18" s="9" t="inlineStr"/>
      <c r="N18" s="8" t="n">
        <v>100</v>
      </c>
      <c r="O18" s="9" t="inlineStr">
        <is>
          <t>Facile à annuler</t>
        </is>
      </c>
      <c r="P18" s="8" t="inlineStr">
        <is>
          <t>Faible</t>
        </is>
      </c>
      <c r="Q18" s="8" t="inlineStr">
        <is>
          <t>A15</t>
        </is>
      </c>
      <c r="R18" s="8" t="inlineStr">
        <is>
          <t>oui</t>
        </is>
      </c>
      <c r="S18" s="9" t="inlineStr"/>
      <c r="T18" s="8" t="n">
        <v>1</v>
      </c>
      <c r="U18" s="9" t="inlineStr">
        <is>
          <t>Contrainte +2 seulement. Crédibilité −8 quand l'écart est révélé.</t>
        </is>
      </c>
      <c r="V18" s="9" t="inlineStr">
        <is>
          <t>Semble neutraliser vos émissions résiduelles pour presque rien. Le crédit est réel, la réduction ne l'est pas.</t>
        </is>
      </c>
      <c r="W18" s="9" t="inlineStr">
        <is>
          <t>Revue de 25 ans de projets forestiers : majorité jugée non additionnelle. Marché volontaire en baisse de plus de 60 % depuis 2022.</t>
        </is>
      </c>
      <c r="X18" s="9" t="inlineStr">
        <is>
          <t>Le prix est le signal : une tonne réellement évitée ne coûte pas trois euros. Le crédit est réel, la réduction sous-jacente rarement additionnelle.</t>
        </is>
      </c>
      <c r="Y18" s="9" t="inlineStr">
        <is>
          <t>Noyau · Piège — le piège n°1, documenté, marché effondré de plus de 60 %</t>
        </is>
      </c>
    </row>
    <row r="19">
      <c r="A19" s="8" t="inlineStr">
        <is>
          <t>A25</t>
        </is>
      </c>
      <c r="B19" s="8" t="inlineStr">
        <is>
          <t>Actif</t>
        </is>
      </c>
      <c r="C19" s="8" t="inlineStr">
        <is>
          <t>Économique</t>
        </is>
      </c>
      <c r="D19" s="9" t="inlineStr">
        <is>
          <t>Désinvestissement institutionnel</t>
        </is>
      </c>
      <c r="E19" s="9" t="inlineStr">
        <is>
          <t>vendre pour l'exemple</t>
        </is>
      </c>
      <c r="F19" s="8" t="inlineStr">
        <is>
          <t>Mondial</t>
        </is>
      </c>
      <c r="G19" s="8" t="inlineStr"/>
      <c r="H19" s="8" t="n">
        <v>2</v>
      </c>
      <c r="I19" s="8" t="inlineStr"/>
      <c r="J19" s="8" t="inlineStr"/>
      <c r="K19" s="8" t="inlineStr"/>
      <c r="L19" s="8" t="n">
        <v>1</v>
      </c>
      <c r="M19" s="9" t="inlineStr"/>
      <c r="N19" s="8" t="n">
        <v>100</v>
      </c>
      <c r="O19" s="9" t="inlineStr">
        <is>
          <t>Facile à annuler</t>
        </is>
      </c>
      <c r="P19" s="8" t="inlineStr">
        <is>
          <t>Contestée</t>
        </is>
      </c>
      <c r="Q19" s="8" t="inlineStr">
        <is>
          <t>T46</t>
        </is>
      </c>
      <c r="R19" s="8" t="inlineStr">
        <is>
          <t>oui</t>
        </is>
      </c>
      <c r="S19" s="9" t="inlineStr"/>
      <c r="T19" s="8" t="n">
        <v>2</v>
      </c>
      <c r="U19" s="9" t="inlineStr">
        <is>
          <t>Perçu +9 partout. Contrainte +1 seulement : le signal est réel, l'effet sur le coût du capital ne l'est pas.</t>
        </is>
      </c>
      <c r="V19" s="9" t="inlineStr">
        <is>
          <t>Vendre un titre ne retire pas un euro à l'entreprise : il change de porteur au prix du marché. L'effet passe par la stigmatisation et par le signal donné aux autres investisseurs.</t>
        </is>
      </c>
      <c r="W19" s="9" t="inlineStr">
        <is>
          <t>Mouvement de désinvestissement depuis 2012 ; exclusions du fonds souverain norvégien. Les travaux empiriques ne mettent pas en évidence d'effet mesurable sur le coût du capital des majors.</t>
        </is>
      </c>
      <c r="X19" s="9" t="inlineStr">
        <is>
          <t>Le titre vendu est racheté, souvent par un acteur moins exposé à la pression publique. Le levier déplace la propriété, pas les émissions — et il consomme le capital qui aurait financé une contrainte réelle.</t>
        </is>
      </c>
      <c r="Y19" s="9" t="inlineStr">
        <is>
          <t>Extension · robustesse contestée — candidat sérieux au statut de PIÈGE plutôt que de levier</t>
        </is>
      </c>
    </row>
    <row r="20">
      <c r="A20" s="8" t="inlineStr">
        <is>
          <t>A26</t>
        </is>
      </c>
      <c r="B20" s="8" t="inlineStr">
        <is>
          <t>Actif</t>
        </is>
      </c>
      <c r="C20" s="8" t="inlineStr">
        <is>
          <t>Technologique</t>
        </is>
      </c>
      <c r="D20" s="9" t="inlineStr">
        <is>
          <t>Programme nucléaire accéléré</t>
        </is>
      </c>
      <c r="E20" s="9" t="inlineStr"/>
      <c r="F20" s="8" t="inlineStr">
        <is>
          <t>Bloc</t>
        </is>
      </c>
      <c r="G20" s="8" t="inlineStr"/>
      <c r="H20" s="8" t="n">
        <v>5</v>
      </c>
      <c r="I20" s="8" t="inlineStr"/>
      <c r="J20" s="8" t="inlineStr"/>
      <c r="K20" s="8" t="inlineStr"/>
      <c r="L20" s="8" t="n">
        <v>3</v>
      </c>
      <c r="M20" s="9" t="inlineStr"/>
      <c r="N20" s="8" t="n">
        <v>100</v>
      </c>
      <c r="O20" s="9" t="inlineStr">
        <is>
          <t>Difficile à annuler</t>
        </is>
      </c>
      <c r="P20" s="8" t="inlineStr">
        <is>
          <t>Faible</t>
        </is>
      </c>
      <c r="Q20" s="8" t="inlineStr">
        <is>
          <t>A46</t>
        </is>
      </c>
      <c r="R20" s="8" t="inlineStr">
        <is>
          <t>oui</t>
        </is>
      </c>
      <c r="S20" s="9" t="inlineStr"/>
      <c r="T20" s="8" t="n">
        <v>1</v>
      </c>
      <c r="U20" s="9" t="inlineStr">
        <is>
          <t>Contrainte +3 et plafond −6 : le budget part, la centrale arrive après la partie.</t>
        </is>
      </c>
      <c r="V20" s="9" t="inlineStr">
        <is>
          <t>Le levier est réel sur l'horizon long. Présenté comme réponse à la décennie, il sert d'argument de report.</t>
        </is>
      </c>
      <c r="W20" s="9" t="inlineStr">
        <is>
          <t>Délais de douze à dix-sept ans par réacteur ; Flamanville, douze ans de retard.</t>
        </is>
      </c>
      <c r="X20" s="9" t="inlineStr">
        <is>
          <t>Le programme est légitime sur l'horizon long — voir A46. Présenté comme réponse à la décennie, il mobilise un budget aujourd'hui pour une production qui arrive après la partie.</t>
        </is>
      </c>
      <c r="Y20" s="9" t="inlineStr">
        <is>
          <t>Noyau · Piège — le levier nucléaire est réel (A46), c'est le CALENDRIER qui est le piège. Évite que le jeu soit lu comme antinucléaire</t>
        </is>
      </c>
    </row>
    <row r="21">
      <c r="A21" s="6" t="inlineStr">
        <is>
          <t>A27</t>
        </is>
      </c>
      <c r="B21" s="6" t="inlineStr">
        <is>
          <t>Actif</t>
        </is>
      </c>
      <c r="C21" s="6" t="inlineStr">
        <is>
          <t>Économique</t>
        </is>
      </c>
      <c r="D21" s="7" t="inlineStr">
        <is>
          <t>Retrait de l'assurance sur les projets fossiles</t>
        </is>
      </c>
      <c r="E21" s="7" t="inlineStr">
        <is>
          <t>boycott financier</t>
        </is>
      </c>
      <c r="F21" s="6" t="inlineStr">
        <is>
          <t>Mondial</t>
        </is>
      </c>
      <c r="G21" s="6" t="inlineStr"/>
      <c r="H21" s="6" t="n">
        <v>2</v>
      </c>
      <c r="I21" s="6" t="inlineStr"/>
      <c r="J21" s="6" t="inlineStr"/>
      <c r="K21" s="6" t="inlineStr"/>
      <c r="L21" s="6" t="n">
        <v>2</v>
      </c>
      <c r="M21" s="7" t="inlineStr"/>
      <c r="N21" s="6" t="n">
        <v>100</v>
      </c>
      <c r="O21" s="7" t="inlineStr">
        <is>
          <t>Facile à annuler</t>
        </is>
      </c>
      <c r="P21" s="6" t="inlineStr">
        <is>
          <t>Moyenne</t>
        </is>
      </c>
      <c r="Q21" s="6" t="inlineStr">
        <is>
          <t>T74</t>
        </is>
      </c>
      <c r="R21" s="6" t="inlineStr"/>
      <c r="S21" s="7" t="inlineStr"/>
      <c r="T21" s="6" t="n">
        <v>4</v>
      </c>
      <c r="U21" s="7" t="inlineStr">
        <is>
          <t>Contrainte +7 sur les cinq blocs à rente fossile élevée (AN, AS, GR, AL, AF). Un projet non assurable ne se finance pas.</t>
        </is>
      </c>
      <c r="V21" s="7" t="inlineStr">
        <is>
          <t>Sans couverture, aucune banque ne prête. Le verrou est privé, donc hors de portée du législateur adverse.</t>
        </is>
      </c>
      <c r="W21" s="7" t="inlineStr">
        <is>
          <t>Retraits successifs des réassureurs sur le charbon et les sables bitumineux depuis 2017.</t>
        </is>
      </c>
      <c r="X21" s="7" t="inlineStr">
        <is>
          <t>Des assureurs de second rang et des captives publiques prennent le relais dans les blocs à rente élevée.</t>
        </is>
      </c>
      <c r="Y21" s="7" t="inlineStr">
        <is>
          <t>Noyau · Verrou — un projet non assurable ne se finance pas ; branche sur la mécanique de retrait assurantiel</t>
        </is>
      </c>
    </row>
    <row r="22">
      <c r="A22" s="6" t="inlineStr">
        <is>
          <t>A28</t>
        </is>
      </c>
      <c r="B22" s="6" t="inlineStr">
        <is>
          <t>Actif</t>
        </is>
      </c>
      <c r="C22" s="6" t="inlineStr">
        <is>
          <t>Économique</t>
        </is>
      </c>
      <c r="D22" s="7" t="inlineStr">
        <is>
          <t>Suppression des niches fiscales sectorielles</t>
        </is>
      </c>
      <c r="E22" s="7" t="inlineStr">
        <is>
          <t>la fin des privilèges</t>
        </is>
      </c>
      <c r="F22" s="6" t="inlineStr">
        <is>
          <t>Bloc</t>
        </is>
      </c>
      <c r="G22" s="6" t="n">
        <v>3</v>
      </c>
      <c r="H22" s="6" t="inlineStr"/>
      <c r="I22" s="6" t="inlineStr"/>
      <c r="J22" s="6" t="inlineStr"/>
      <c r="K22" s="6" t="n">
        <v>40</v>
      </c>
      <c r="L22" s="6" t="n">
        <v>2</v>
      </c>
      <c r="M22" s="7" t="inlineStr"/>
      <c r="N22" s="6" t="n">
        <v>100</v>
      </c>
      <c r="O22" s="7" t="inlineStr">
        <is>
          <t>Facile à annuler</t>
        </is>
      </c>
      <c r="P22" s="6" t="inlineStr">
        <is>
          <t>Élevée</t>
        </is>
      </c>
      <c r="Q22" s="6" t="inlineStr">
        <is>
          <t>T41</t>
        </is>
      </c>
      <c r="R22" s="6" t="inlineStr"/>
      <c r="S22" s="7" t="inlineStr"/>
      <c r="T22" s="6" t="n">
        <v>3</v>
      </c>
      <c r="U22" s="7" t="inlineStr">
        <is>
          <t>Contrainte +13 et friction +18. Friction portée à +26 si le bloc a déjà subi une campagne territoriale.</t>
        </is>
      </c>
      <c r="V22" s="7" t="inlineStr">
        <is>
          <t>Kérosène, gazole non routier, exonérations sectorielles : le gain budgétaire est immédiat et la cible est étroite, donc parfaitement organisée pour se défendre.</t>
        </is>
      </c>
      <c r="W22" s="7" t="inlineStr">
        <is>
          <t>Suppression progressive de l'exonération sur le gazole non routier agricole annoncée en France fin 2023, retirée en février 2024 après la mobilisation.</t>
        </is>
      </c>
      <c r="X22" s="7" t="inlineStr">
        <is>
          <t>Une niche défendue par une profession identifiable produit une fracture professionnelle, pas une contestation diffuse : elle est plus violente et plus courte.</t>
        </is>
      </c>
      <c r="Y22" s="7" t="inlineStr">
        <is>
          <t>Extension · déclenche la fracture professionnelle (paire avec T41) — à réintégrer tôt</t>
        </is>
      </c>
    </row>
    <row r="23">
      <c r="A23" s="6" t="inlineStr">
        <is>
          <t>A29</t>
        </is>
      </c>
      <c r="B23" s="6" t="inlineStr">
        <is>
          <t>Actif</t>
        </is>
      </c>
      <c r="C23" s="6" t="inlineStr">
        <is>
          <t>International</t>
        </is>
      </c>
      <c r="D23" s="7" t="inlineStr">
        <is>
          <t>Financement climat Nord-Sud</t>
        </is>
      </c>
      <c r="E23" s="7" t="inlineStr">
        <is>
          <t>chèque en blanc</t>
        </is>
      </c>
      <c r="F23" s="6" t="inlineStr">
        <is>
          <t>Mondial</t>
        </is>
      </c>
      <c r="G23" s="6" t="inlineStr"/>
      <c r="H23" s="6" t="n">
        <v>5</v>
      </c>
      <c r="I23" s="6" t="inlineStr"/>
      <c r="J23" s="6" t="inlineStr"/>
      <c r="K23" s="6" t="inlineStr"/>
      <c r="L23" s="6" t="n">
        <v>1</v>
      </c>
      <c r="M23" s="7" t="inlineStr"/>
      <c r="N23" s="6" t="n">
        <v>100</v>
      </c>
      <c r="O23" s="7" t="inlineStr">
        <is>
          <t>Facile à annuler</t>
        </is>
      </c>
      <c r="P23" s="6" t="inlineStr">
        <is>
          <t>Moyenne</t>
        </is>
      </c>
      <c r="Q23" s="6" t="inlineStr">
        <is>
          <t>T02</t>
        </is>
      </c>
      <c r="R23" s="6" t="inlineStr"/>
      <c r="S23" s="7" t="inlineStr">
        <is>
          <t>Confiance multilatérale (avec A65)</t>
        </is>
      </c>
      <c r="T23" s="6" t="n">
        <v>4</v>
      </c>
      <c r="U23" s="7" t="inlineStr">
        <is>
          <t>Contrainte +10 et perçu +6 sur l'Inde, l'Afrique, l'Amérique latine et le reste de l'Asie.</t>
        </is>
      </c>
      <c r="V23" s="7" t="inlineStr">
        <is>
          <t>Le capital est le facteur limitant des blocs émergents, pas la volonté. Le financement lève directement la contrainte.</t>
        </is>
      </c>
      <c r="W23" s="7" t="inlineStr">
        <is>
          <t>100 Md$/an promis en 2009, atteints en 2022 ; nouvel objectif de 300 Md$/an acté à Bakou en 2024.</t>
        </is>
      </c>
      <c r="X23" s="7" t="inlineStr">
        <is>
          <t>Sans lui, aucun accord mondial ne tient. Avec lui, la facture est visible chez vous et invisible ailleurs.</t>
        </is>
      </c>
      <c r="Y23" s="7" t="inlineStr">
        <is>
          <t>Noyau · Coalition — sans lui aucun accord mondial ne tient ; contre de T02</t>
        </is>
      </c>
    </row>
    <row r="24">
      <c r="A24" s="6" t="inlineStr">
        <is>
          <t>A31</t>
        </is>
      </c>
      <c r="B24" s="6" t="inlineStr">
        <is>
          <t>Actif</t>
        </is>
      </c>
      <c r="C24" s="6" t="inlineStr">
        <is>
          <t>Économique</t>
        </is>
      </c>
      <c r="D24" s="7" t="inlineStr">
        <is>
          <t>Redistribution du produit de la taxe</t>
        </is>
      </c>
      <c r="E24" s="7" t="inlineStr">
        <is>
          <t>redistribution électoraliste</t>
        </is>
      </c>
      <c r="F24" s="6" t="inlineStr">
        <is>
          <t>Bloc</t>
        </is>
      </c>
      <c r="G24" s="6" t="inlineStr"/>
      <c r="H24" s="6" t="n">
        <v>3</v>
      </c>
      <c r="I24" s="6" t="inlineStr"/>
      <c r="J24" s="6" t="inlineStr"/>
      <c r="K24" s="6" t="inlineStr"/>
      <c r="L24" s="6" t="n">
        <v>1</v>
      </c>
      <c r="M24" s="7" t="inlineStr">
        <is>
          <t>une tarification carbone en vigueur — sans produit, il n'y a rien à redistribuer</t>
        </is>
      </c>
      <c r="N24" s="6" t="n">
        <v>100</v>
      </c>
      <c r="O24" s="7" t="inlineStr">
        <is>
          <t>Facile à annuler</t>
        </is>
      </c>
      <c r="P24" s="6" t="inlineStr">
        <is>
          <t>Élevée</t>
        </is>
      </c>
      <c r="Q24" s="6" t="inlineStr">
        <is>
          <t>T08</t>
        </is>
      </c>
      <c r="R24" s="6" t="inlineStr"/>
      <c r="S24" s="7" t="inlineStr">
        <is>
          <t>Le chèque avec la taxe (avec A01)</t>
        </is>
      </c>
      <c r="T24" s="6" t="n">
        <v>4</v>
      </c>
      <c r="U24" s="7" t="inlineStr">
        <is>
          <t>Friction −26 et compensation durable installée sur le bloc.</t>
        </is>
      </c>
      <c r="V24" s="7" t="inlineStr">
        <is>
          <t>Rendre le produit sous forme de chèque visible transforme un impôt en transfert. La mesure survit à l'alternance.</t>
        </is>
      </c>
      <c r="W24" s="7" t="inlineStr">
        <is>
          <t>Dividende carbone canadien, chèque trimestriel identifiable. Absence de redistribution lisible en France en 2018.</t>
        </is>
      </c>
      <c r="X24" s="7" t="inlineStr">
        <is>
          <t>Carte ennuyeuse et décisive : sans elle, la tarification ne passe pas deux tours.</t>
        </is>
      </c>
      <c r="Y24" s="7" t="inlineStr">
        <is>
          <t>Noyau · Coalition — carte ennuyeuse et décisive. Sans elle, A01 ne survit pas à T39</t>
        </is>
      </c>
    </row>
    <row r="25">
      <c r="A25" s="6" t="inlineStr">
        <is>
          <t>A33</t>
        </is>
      </c>
      <c r="B25" s="6" t="inlineStr">
        <is>
          <t>Actif</t>
        </is>
      </c>
      <c r="C25" s="6" t="inlineStr">
        <is>
          <t>Judiciaire</t>
        </is>
      </c>
      <c r="D25" s="7" t="inlineStr">
        <is>
          <t>Contentieux climatique contre l'État</t>
        </is>
      </c>
      <c r="E25" s="7" t="inlineStr">
        <is>
          <t>gouvernement des juges</t>
        </is>
      </c>
      <c r="F25" s="6" t="inlineStr">
        <is>
          <t>Bloc</t>
        </is>
      </c>
      <c r="G25" s="6" t="inlineStr"/>
      <c r="H25" s="6" t="n">
        <v>2</v>
      </c>
      <c r="I25" s="6" t="inlineStr"/>
      <c r="J25" s="6" t="inlineStr"/>
      <c r="K25" s="6" t="inlineStr"/>
      <c r="L25" s="6" t="n">
        <v>1</v>
      </c>
      <c r="M25" s="7" t="inlineStr"/>
      <c r="N25" s="6" t="n">
        <v>72</v>
      </c>
      <c r="O25" s="7" t="inlineStr">
        <is>
          <t>Difficile à annuler</t>
        </is>
      </c>
      <c r="P25" s="6" t="inlineStr">
        <is>
          <t>Élevée</t>
        </is>
      </c>
      <c r="Q25" s="6" t="inlineStr">
        <is>
          <t>T26</t>
        </is>
      </c>
      <c r="R25" s="6" t="inlineStr"/>
      <c r="S25" s="7" t="inlineStr"/>
      <c r="T25" s="6" t="n">
        <v>4</v>
      </c>
      <c r="U25" s="7" t="inlineStr">
        <is>
          <t>Contrainte +12 sans condition de soutien perçu. Sans effet en régime autoritaire.</t>
        </is>
      </c>
      <c r="V25" s="7" t="inlineStr">
        <is>
          <t>Contourne l'arène électorale : le juge impose ce que la majorité ne vote pas. Le seul levier qui ignore la jauge d'opinion.</t>
        </is>
      </c>
      <c r="W25" s="7" t="inlineStr">
        <is>
          <t>Urgenda (Pays-Bas, 2019), Affaire du Siècle (France, 2021), Neubauer (Allemagne, 2021).</t>
        </is>
      </c>
      <c r="X25" s="7" t="inlineStr">
        <is>
          <t>Gagner un procès n'exécute rien : l'État condamné peut payer et continuer.</t>
        </is>
      </c>
      <c r="Y25" s="7" t="inlineStr">
        <is>
          <t>Noyau · Verrou — contourne l'arène électorale par le juge</t>
        </is>
      </c>
    </row>
    <row r="26">
      <c r="A26" s="6" t="inlineStr">
        <is>
          <t>A35</t>
        </is>
      </c>
      <c r="B26" s="6" t="inlineStr">
        <is>
          <t>Actif</t>
        </is>
      </c>
      <c r="C26" s="6" t="inlineStr">
        <is>
          <t>Judiciaire</t>
        </is>
      </c>
      <c r="D26" s="7" t="inlineStr">
        <is>
          <t>Recours devant une cour régionale des droits humains</t>
        </is>
      </c>
      <c r="E26" s="7" t="inlineStr">
        <is>
          <t>juges étrangers</t>
        </is>
      </c>
      <c r="F26" s="6" t="inlineStr">
        <is>
          <t>Mondial</t>
        </is>
      </c>
      <c r="G26" s="6" t="inlineStr"/>
      <c r="H26" s="6" t="n">
        <v>3</v>
      </c>
      <c r="I26" s="6" t="inlineStr"/>
      <c r="J26" s="6" t="n">
        <v>1</v>
      </c>
      <c r="K26" s="6" t="inlineStr"/>
      <c r="L26" s="6" t="n">
        <v>2</v>
      </c>
      <c r="M26" s="7" t="inlineStr">
        <is>
          <t>un contentieux national déjà porté — on ne saisit pas la cour régionale d'emblée</t>
        </is>
      </c>
      <c r="N26" s="6" t="n">
        <v>58</v>
      </c>
      <c r="O26" s="7" t="inlineStr">
        <is>
          <t>Irréversible</t>
        </is>
      </c>
      <c r="P26" s="6" t="inlineStr">
        <is>
          <t>Élevée</t>
        </is>
      </c>
      <c r="Q26" s="6" t="inlineStr">
        <is>
          <t>T24</t>
        </is>
      </c>
      <c r="R26" s="6" t="inlineStr"/>
      <c r="S26" s="7" t="inlineStr"/>
      <c r="T26" s="6" t="n">
        <v>4</v>
      </c>
      <c r="U26" s="7" t="inlineStr">
        <is>
          <t>Contrainte +9 au tour suivant sur tous les blocs démocratiques.</t>
        </is>
      </c>
      <c r="V26" s="7" t="inlineStr">
        <is>
          <t>Crée une obligation opposable à tous les États membres d'un seul coup, sans passer par aucun parlement.</t>
        </is>
      </c>
      <c r="W26" s="7" t="inlineStr">
        <is>
          <t>CEDH, KlimaSeniorinnen contre Suisse, avril 2024 : première condamnation d'un État pour inaction climatique par une cour des droits humains.</t>
        </is>
      </c>
      <c r="X26" s="7" t="inlineStr">
        <is>
          <t>Ne touche que les blocs soumis à la juridiction. Les plus gros émetteurs n'y sont pas.</t>
        </is>
      </c>
      <c r="Y26" s="7" t="inlineStr">
        <is>
          <t>Pilier · Verrou — irréversible, multi-bloc d'un seul coup (KlimaSeniorinnen 2024)</t>
        </is>
      </c>
    </row>
    <row r="27">
      <c r="A27" s="6" t="inlineStr">
        <is>
          <t>A36</t>
        </is>
      </c>
      <c r="B27" s="6" t="inlineStr">
        <is>
          <t>Actif</t>
        </is>
      </c>
      <c r="C27" s="6" t="inlineStr">
        <is>
          <t>Judiciaire</t>
        </is>
      </c>
      <c r="D27" s="7" t="inlineStr">
        <is>
          <t>Avis consultatif de juridiction internationale</t>
        </is>
      </c>
      <c r="E27" s="7" t="inlineStr">
        <is>
          <t>droit mou international</t>
        </is>
      </c>
      <c r="F27" s="6" t="inlineStr">
        <is>
          <t>Mondial</t>
        </is>
      </c>
      <c r="G27" s="6" t="n">
        <v>3</v>
      </c>
      <c r="H27" s="6" t="inlineStr"/>
      <c r="I27" s="6" t="inlineStr"/>
      <c r="J27" s="6" t="n">
        <v>2</v>
      </c>
      <c r="K27" s="6" t="inlineStr"/>
      <c r="L27" s="6" t="n">
        <v>3</v>
      </c>
      <c r="M27" s="7" t="inlineStr">
        <is>
          <t>un contentieux climatique déjà engagé</t>
        </is>
      </c>
      <c r="N27" s="6" t="n">
        <v>52</v>
      </c>
      <c r="O27" s="7" t="inlineStr">
        <is>
          <t>Irréversible</t>
        </is>
      </c>
      <c r="P27" s="6" t="inlineStr">
        <is>
          <t>Élevée</t>
        </is>
      </c>
      <c r="Q27" s="6" t="inlineStr">
        <is>
          <t>T24</t>
        </is>
      </c>
      <c r="R27" s="6" t="inlineStr"/>
      <c r="S27" s="7" t="inlineStr">
        <is>
          <t>La sortie par le droit (avec A71)</t>
        </is>
      </c>
      <c r="T27" s="6" t="n">
        <v>4</v>
      </c>
      <c r="U27" s="7" t="inlineStr">
        <is>
          <t>Contrainte +6 partout dans deux tours. Neutralise l'arbitrage investisseur-État pendant deux tours.</t>
        </is>
      </c>
      <c r="V27" s="7" t="inlineStr">
        <is>
          <t>Établit que les obligations climatiques relèvent du droit international général : toutes les procédures suivantes s'y adossent.</t>
        </is>
      </c>
      <c r="W27" s="7" t="inlineStr">
        <is>
          <t>Avis consultatif de la Cour internationale de justice sur les obligations des États, 23 juillet 2025.</t>
        </is>
      </c>
      <c r="X27" s="7" t="inlineStr">
        <is>
          <t>Non contraignant en lui-même. Sa force est entièrement dans ce que les juges nationaux en font ensuite.</t>
        </is>
      </c>
      <c r="Y27" s="7" t="inlineStr">
        <is>
          <t>Pilier · Verrou — irréversible mondial, ouvre la voie aux réparations (CIJ 2025)</t>
        </is>
      </c>
    </row>
    <row r="28">
      <c r="A28" s="6" t="inlineStr">
        <is>
          <t>A37</t>
        </is>
      </c>
      <c r="B28" s="6" t="inlineStr">
        <is>
          <t>Actif</t>
        </is>
      </c>
      <c r="C28" s="6" t="inlineStr">
        <is>
          <t>Judiciaire</t>
        </is>
      </c>
      <c r="D28" s="7" t="inlineStr">
        <is>
          <t>Contentieux publicité mensongère</t>
        </is>
      </c>
      <c r="E28" s="7" t="inlineStr">
        <is>
          <t>police de la parole</t>
        </is>
      </c>
      <c r="F28" s="6" t="inlineStr">
        <is>
          <t>Bloc</t>
        </is>
      </c>
      <c r="G28" s="6" t="n">
        <v>2</v>
      </c>
      <c r="H28" s="6" t="n">
        <v>1</v>
      </c>
      <c r="I28" s="6" t="inlineStr"/>
      <c r="J28" s="6" t="inlineStr"/>
      <c r="K28" s="6" t="inlineStr"/>
      <c r="L28" s="6" t="n">
        <v>2</v>
      </c>
      <c r="M28" s="7" t="inlineStr"/>
      <c r="N28" s="6" t="n">
        <v>66</v>
      </c>
      <c r="O28" s="7" t="inlineStr">
        <is>
          <t>Difficile à annuler</t>
        </is>
      </c>
      <c r="P28" s="6" t="inlineStr">
        <is>
          <t>Élevée</t>
        </is>
      </c>
      <c r="Q28" s="6" t="inlineStr">
        <is>
          <t>T26</t>
        </is>
      </c>
      <c r="R28" s="6" t="inlineStr"/>
      <c r="S28" s="7" t="inlineStr">
        <is>
          <t>Le dossier et le procès (avec A54)</t>
        </is>
      </c>
      <c r="T28" s="6" t="n">
        <v>2</v>
      </c>
      <c r="U28" s="7" t="inlineStr">
        <is>
          <t>Retire l'emprise médiatique installée sur le bloc et rend 10 de soutien perçu. Sans emprise à défaire, l'action ne rend que 4. Crédibilité adverse −6.</t>
        </is>
      </c>
      <c r="V28" s="7" t="inlineStr">
        <is>
          <t>Une campagne qui présente une activité fossile comme neutre en carbone est une allégation commerciale, pas une opinion. Elle se juge sur la preuve, et la preuve manque.</t>
        </is>
      </c>
      <c r="W28" s="7" t="inlineStr">
        <is>
          <t>Décisions de l'ASA britannique contre des campagnes pétrolières ; plainte française contre TotalEnergies pour pratiques commerciales trompeuses, 2022.</t>
        </is>
      </c>
      <c r="X28" s="7" t="inlineStr">
        <is>
          <t>Le retrait de la campagne arrive après qu'elle a produit son effet. Le procès défait l'emprise, il ne rend pas les tours perdus.</t>
        </is>
      </c>
      <c r="Y28" s="7" t="inlineStr">
        <is>
          <t>Extension · redondant avec A17 dans le noyau</t>
        </is>
      </c>
    </row>
    <row r="29">
      <c r="A29" s="8" t="inlineStr">
        <is>
          <t>A38</t>
        </is>
      </c>
      <c r="B29" s="8" t="inlineStr">
        <is>
          <t>Actif</t>
        </is>
      </c>
      <c r="C29" s="8" t="inlineStr">
        <is>
          <t>Technologique</t>
        </is>
      </c>
      <c r="D29" s="9" t="inlineStr">
        <is>
          <t>Captage et stockage sur centrale électrique</t>
        </is>
      </c>
      <c r="E29" s="9" t="inlineStr"/>
      <c r="F29" s="8" t="inlineStr">
        <is>
          <t>Bloc</t>
        </is>
      </c>
      <c r="G29" s="8" t="inlineStr"/>
      <c r="H29" s="8" t="n">
        <v>5</v>
      </c>
      <c r="I29" s="8" t="inlineStr"/>
      <c r="J29" s="8" t="n">
        <v>2</v>
      </c>
      <c r="K29" s="8" t="inlineStr"/>
      <c r="L29" s="8" t="n">
        <v>2</v>
      </c>
      <c r="M29" s="9" t="inlineStr"/>
      <c r="N29" s="8" t="n">
        <v>100</v>
      </c>
      <c r="O29" s="9" t="inlineStr">
        <is>
          <t>Difficile à annuler</t>
        </is>
      </c>
      <c r="P29" s="8" t="inlineStr">
        <is>
          <t>Faible</t>
        </is>
      </c>
      <c r="Q29" s="8" t="inlineStr">
        <is>
          <t>A20</t>
        </is>
      </c>
      <c r="R29" s="8" t="inlineStr">
        <is>
          <t>oui</t>
        </is>
      </c>
      <c r="S29" s="9" t="inlineStr"/>
      <c r="T29" s="8" t="n">
        <v>1</v>
      </c>
      <c r="U29" s="9" t="inlineStr">
        <is>
          <t>Contrainte +4 dans deux tours, pour un coût de 5. Prolonge le parc fossile.</t>
        </is>
      </c>
      <c r="V29" s="9" t="inlineStr">
        <is>
          <t>Techniquement possible, économiquement absurde face au renouvelable : on paie deux fois pour produire la même électricité.</t>
        </is>
      </c>
      <c r="W29" s="9" t="inlineStr">
        <is>
          <t>Boundary Dam et Petra Nova : taux de captage réels très inférieurs aux annonces, arrêts prolongés.</t>
        </is>
      </c>
      <c r="X29" s="9" t="inlineStr">
        <is>
          <t>La même technologie est défendable sur le ciment et la chimie, où la réaction elle-même émet — voir A44. Sur une centrale, elle revient à payer deux fois pour la même électricité.</t>
        </is>
      </c>
      <c r="Y29" s="9" t="inlineStr">
        <is>
          <t>Noyau · Piège — pendant piège de A44 : même technologie, un usage légitime, un usage piège</t>
        </is>
      </c>
    </row>
    <row r="30">
      <c r="A30" s="6" t="inlineStr">
        <is>
          <t>A39</t>
        </is>
      </c>
      <c r="B30" s="6" t="inlineStr">
        <is>
          <t>Actif</t>
        </is>
      </c>
      <c r="C30" s="6" t="inlineStr">
        <is>
          <t>Technologique</t>
        </is>
      </c>
      <c r="D30" s="7" t="inlineStr">
        <is>
          <t>R&amp;D publique</t>
        </is>
      </c>
      <c r="E30" s="7" t="inlineStr"/>
      <c r="F30" s="6" t="inlineStr">
        <is>
          <t>Bloc</t>
        </is>
      </c>
      <c r="G30" s="6" t="inlineStr"/>
      <c r="H30" s="6" t="n">
        <v>3</v>
      </c>
      <c r="I30" s="6" t="inlineStr"/>
      <c r="J30" s="6" t="n">
        <v>3</v>
      </c>
      <c r="K30" s="6" t="inlineStr"/>
      <c r="L30" s="6" t="n">
        <v>1</v>
      </c>
      <c r="M30" s="7" t="inlineStr"/>
      <c r="N30" s="6" t="n">
        <v>100</v>
      </c>
      <c r="O30" s="7" t="inlineStr">
        <is>
          <t>Difficile à annuler</t>
        </is>
      </c>
      <c r="P30" s="6" t="inlineStr">
        <is>
          <t>Moyenne</t>
        </is>
      </c>
      <c r="Q30" s="6" t="inlineStr">
        <is>
          <t>T68</t>
        </is>
      </c>
      <c r="R30" s="6" t="inlineStr"/>
      <c r="S30" s="7" t="inlineStr"/>
      <c r="T30" s="6" t="n">
        <v>2</v>
      </c>
      <c r="U30" s="7" t="inlineStr">
        <is>
          <t>Indice technologique +14 dans trois tours. Aucun effet immédiat.</t>
        </is>
      </c>
      <c r="V30" s="7" t="inlineStr">
        <is>
          <t>Prépare les leviers des tours suivants. Le seul levier dont le rendement est entièrement reporté.</t>
        </is>
      </c>
      <c r="W30" s="7" t="inlineStr">
        <is>
          <t>Mission Innovation lancée en 2015 en marge de la COP21 ; budgets publics de R&amp;D énergie.</t>
        </is>
      </c>
      <c r="X30" s="7" t="inlineStr">
        <is>
          <t>Ne remplace jamais le déploiement : chercher sans déployer ne fait pas baisser les prix.</t>
        </is>
      </c>
      <c r="Y30" s="7" t="inlineStr">
        <is>
          <t>Noyau · Émissions — PROMU : contre de T04 (optimisme technologique), et seule carte qui enseigne la latence pure</t>
        </is>
      </c>
    </row>
    <row r="31">
      <c r="A31" s="6" t="inlineStr">
        <is>
          <t>A40</t>
        </is>
      </c>
      <c r="B31" s="6" t="inlineStr">
        <is>
          <t>Actif</t>
        </is>
      </c>
      <c r="C31" s="6" t="inlineStr">
        <is>
          <t>Technologique</t>
        </is>
      </c>
      <c r="D31" s="7" t="inlineStr">
        <is>
          <t>Électrification des usages</t>
        </is>
      </c>
      <c r="E31" s="7" t="inlineStr">
        <is>
          <t>tout-électrique forcé</t>
        </is>
      </c>
      <c r="F31" s="6" t="inlineStr">
        <is>
          <t>Bloc</t>
        </is>
      </c>
      <c r="G31" s="6" t="inlineStr"/>
      <c r="H31" s="6" t="n">
        <v>3</v>
      </c>
      <c r="I31" s="6" t="inlineStr"/>
      <c r="J31" s="6" t="inlineStr"/>
      <c r="K31" s="6" t="n">
        <v>40</v>
      </c>
      <c r="L31" s="6" t="n">
        <v>2</v>
      </c>
      <c r="M31" s="7" t="inlineStr">
        <is>
          <t>le réseau électrique et le stockage — prérequis physique de l'électrification</t>
        </is>
      </c>
      <c r="N31" s="6" t="n">
        <v>100</v>
      </c>
      <c r="O31" s="7" t="inlineStr">
        <is>
          <t>Difficile à annuler</t>
        </is>
      </c>
      <c r="P31" s="6" t="inlineStr">
        <is>
          <t>Élevée</t>
        </is>
      </c>
      <c r="Q31" s="6" t="inlineStr">
        <is>
          <t>A42</t>
        </is>
      </c>
      <c r="R31" s="6" t="inlineStr"/>
      <c r="S31" s="7" t="inlineStr">
        <is>
          <t>La courbe s'effondre (avec A18)</t>
        </is>
      </c>
      <c r="T31" s="6" t="n">
        <v>5</v>
      </c>
      <c r="U31" s="7" t="inlineStr">
        <is>
          <t>Contrainte +16, augmentée par l'indice technologique. Friction +5.</t>
        </is>
      </c>
      <c r="V31" s="7" t="inlineStr">
        <is>
          <t>Un moteur électrique convertit trois à quatre fois mieux qu'un moteur thermique. Le gain est physique, avant même de décarboner le mix.</t>
        </is>
      </c>
      <c r="W31" s="7" t="inlineStr">
        <is>
          <t>Ventes de voitures électriques passées de 1 % à plus de 20 % du marché mondial entre 2015 et 2024.</t>
        </is>
      </c>
      <c r="X31" s="7" t="inlineStr">
        <is>
          <t>Sature si le réseau n'a pas été renforcé. Ciblée par les faux vecteurs alternatifs.</t>
        </is>
      </c>
      <c r="Y31" s="7" t="inlineStr">
        <is>
          <t>Noyau · Émissions — multiplicateur de toute décarbonation du mix (puissance 5)</t>
        </is>
      </c>
    </row>
    <row r="32">
      <c r="A32" s="6" t="inlineStr">
        <is>
          <t>A41</t>
        </is>
      </c>
      <c r="B32" s="6" t="inlineStr">
        <is>
          <t>Actif</t>
        </is>
      </c>
      <c r="C32" s="6" t="inlineStr">
        <is>
          <t>Économique</t>
        </is>
      </c>
      <c r="D32" s="7" t="inlineStr">
        <is>
          <t>Plan de sobriété organisée</t>
        </is>
      </c>
      <c r="E32" s="7" t="inlineStr">
        <is>
          <t>rationnement déguisé</t>
        </is>
      </c>
      <c r="F32" s="6" t="inlineStr">
        <is>
          <t>Bloc</t>
        </is>
      </c>
      <c r="G32" s="6" t="n">
        <v>2</v>
      </c>
      <c r="H32" s="6" t="inlineStr"/>
      <c r="I32" s="6" t="inlineStr"/>
      <c r="J32" s="6" t="inlineStr"/>
      <c r="K32" s="6" t="inlineStr"/>
      <c r="L32" s="6" t="n">
        <v>2</v>
      </c>
      <c r="M32" s="7" t="inlineStr"/>
      <c r="N32" s="6" t="n">
        <v>100</v>
      </c>
      <c r="O32" s="7" t="inlineStr">
        <is>
          <t>Facile à annuler</t>
        </is>
      </c>
      <c r="P32" s="6" t="inlineStr">
        <is>
          <t>Moyenne</t>
        </is>
      </c>
      <c r="Q32" s="6" t="inlineStr">
        <is>
          <t>T09</t>
        </is>
      </c>
      <c r="R32" s="6" t="inlineStr"/>
      <c r="S32" s="7" t="inlineStr"/>
      <c r="T32" s="6" t="n">
        <v>3</v>
      </c>
      <c r="U32" s="7" t="inlineStr">
        <is>
          <t>Contrainte +9 dès ce tour, friction +5, perçu +3. Le seul levier actif dont l'effet tombe entièrement dans le tour.</t>
        </is>
      </c>
      <c r="V32" s="7" t="inlineStr">
        <is>
          <t>Consignes de température, décalage des usages, pilotage de la pointe. Ce n'est pas de la contrainte individuelle mais du pilotage administratif d'une consommation collective.</t>
        </is>
      </c>
      <c r="W32" s="7" t="inlineStr">
        <is>
          <t>Plan de sobriété français de l'hiver 2022 : environ 12 % de consommation de gaz en moins à conditions climatiques corrigées, sans coupure.</t>
        </is>
      </c>
      <c r="X32" s="7" t="inlineStr">
        <is>
          <t>L'effet ne survit pas à la campagne qui le porte. Sans mesure structurelle derrière, la consommation revient à son niveau en deux ans.</t>
        </is>
      </c>
      <c r="Y32" s="7" t="inlineStr">
        <is>
          <t>Extension · effet immédiat rare côté actif — à réintégrer si l'équilibrage montre l'actif trop lent</t>
        </is>
      </c>
    </row>
    <row r="33">
      <c r="A33" s="8" t="inlineStr">
        <is>
          <t>A42</t>
        </is>
      </c>
      <c r="B33" s="8" t="inlineStr">
        <is>
          <t>Actif</t>
        </is>
      </c>
      <c r="C33" s="8" t="inlineStr">
        <is>
          <t>Technologique</t>
        </is>
      </c>
      <c r="D33" s="9" t="inlineStr">
        <is>
          <t>Hydrogène pour la voiture particulière</t>
        </is>
      </c>
      <c r="E33" s="9" t="inlineStr"/>
      <c r="F33" s="8" t="inlineStr">
        <is>
          <t>Bloc</t>
        </is>
      </c>
      <c r="G33" s="8" t="inlineStr"/>
      <c r="H33" s="8" t="n">
        <v>4</v>
      </c>
      <c r="I33" s="8" t="inlineStr"/>
      <c r="J33" s="8" t="n">
        <v>2</v>
      </c>
      <c r="K33" s="8" t="inlineStr"/>
      <c r="L33" s="8" t="n">
        <v>2</v>
      </c>
      <c r="M33" s="9" t="inlineStr"/>
      <c r="N33" s="8" t="n">
        <v>100</v>
      </c>
      <c r="O33" s="9" t="inlineStr">
        <is>
          <t>Difficile à annuler</t>
        </is>
      </c>
      <c r="P33" s="8" t="inlineStr">
        <is>
          <t>Faible</t>
        </is>
      </c>
      <c r="Q33" s="8" t="inlineStr">
        <is>
          <t>A40</t>
        </is>
      </c>
      <c r="R33" s="8" t="inlineStr">
        <is>
          <t>oui</t>
        </is>
      </c>
      <c r="S33" s="9" t="inlineStr"/>
      <c r="T33" s="8" t="n">
        <v>1</v>
      </c>
      <c r="U33" s="9" t="inlineStr">
        <is>
          <t>Contrainte +3 dans deux tours, pour un coût de 4. Retarde l'électrification directe.</t>
        </is>
      </c>
      <c r="V33" s="9" t="inlineStr">
        <is>
          <t>Rendement global trois à quatre fois inférieur à la batterie : électrolyse, compression, pile à combustible, chaque étape perd.</t>
        </is>
      </c>
      <c r="W33" s="9" t="inlineStr">
        <is>
          <t>Abandons successifs des programmes hydrogène automobile depuis 2020 ; parc mondial resté marginal.</t>
        </is>
      </c>
      <c r="X33" s="9" t="inlineStr">
        <is>
          <t>Le même vecteur est pertinent là où l'électrification directe est impossible — industrie, maritime, voir A47. Sur la voiture particulière, il coûte trois à quatre fois plus d'électricité pour le même kilomètre.</t>
        </is>
      </c>
      <c r="Y33" s="9" t="inlineStr">
        <is>
          <t>Noyau · Piège — rendement 3 à 4 fois inférieur à l'électrique à batterie. Pendant piège de A47</t>
        </is>
      </c>
    </row>
    <row r="34">
      <c r="A34" s="8" t="inlineStr">
        <is>
          <t>A43</t>
        </is>
      </c>
      <c r="B34" s="8" t="inlineStr">
        <is>
          <t>Actif</t>
        </is>
      </c>
      <c r="C34" s="8" t="inlineStr">
        <is>
          <t>Technologique</t>
        </is>
      </c>
      <c r="D34" s="9" t="inlineStr">
        <is>
          <t>Carburants de synthèse pour l'automobile</t>
        </is>
      </c>
      <c r="E34" s="9" t="inlineStr"/>
      <c r="F34" s="8" t="inlineStr">
        <is>
          <t>Bloc</t>
        </is>
      </c>
      <c r="G34" s="8" t="inlineStr"/>
      <c r="H34" s="8" t="n">
        <v>4</v>
      </c>
      <c r="I34" s="8" t="inlineStr"/>
      <c r="J34" s="8" t="inlineStr"/>
      <c r="K34" s="8" t="inlineStr"/>
      <c r="L34" s="8" t="n">
        <v>3</v>
      </c>
      <c r="M34" s="9" t="inlineStr"/>
      <c r="N34" s="8" t="n">
        <v>100</v>
      </c>
      <c r="O34" s="9" t="inlineStr">
        <is>
          <t>Difficile à annuler</t>
        </is>
      </c>
      <c r="P34" s="8" t="inlineStr">
        <is>
          <t>Faible</t>
        </is>
      </c>
      <c r="Q34" s="8" t="inlineStr">
        <is>
          <t>A04</t>
        </is>
      </c>
      <c r="R34" s="8" t="inlineStr">
        <is>
          <t>oui</t>
        </is>
      </c>
      <c r="S34" s="9" t="inlineStr"/>
      <c r="T34" s="8" t="n">
        <v>1</v>
      </c>
      <c r="U34" s="9" t="inlineStr">
        <is>
          <t>Contrainte +2 et plafond −8 : ouvre une exemption réglementaire durable.</t>
        </is>
      </c>
      <c r="V34" s="9" t="inlineStr">
        <is>
          <t>Coût et rendement prohibitifs à l'échelle. Sert surtout à maintenir légalement le moteur thermique.</t>
        </is>
      </c>
      <c r="W34" s="9" t="inlineStr">
        <is>
          <t>Exemption e-fuels obtenue en 2023 sur le règlement européen de fin du thermique en 2035.</t>
        </is>
      </c>
      <c r="X34" s="9" t="inlineStr">
        <is>
          <t>Le coût et le rendement restent prohibitifs à l'échelle du parc automobile. Dans les faits, la filière a surtout servi à obtenir une exemption au règlement de 2035.</t>
        </is>
      </c>
      <c r="Y34" s="9" t="inlineStr">
        <is>
          <t>Noyau · Piège — devient une exemption réglementaire réelle (paire avec T52)</t>
        </is>
      </c>
    </row>
    <row r="35">
      <c r="A35" s="6" t="inlineStr">
        <is>
          <t>A44</t>
        </is>
      </c>
      <c r="B35" s="6" t="inlineStr">
        <is>
          <t>Actif</t>
        </is>
      </c>
      <c r="C35" s="6" t="inlineStr">
        <is>
          <t>Technologique</t>
        </is>
      </c>
      <c r="D35" s="7" t="inlineStr">
        <is>
          <t>Captage sur émissions industrielles</t>
        </is>
      </c>
      <c r="E35" s="7" t="inlineStr"/>
      <c r="F35" s="6" t="inlineStr">
        <is>
          <t>Bloc</t>
        </is>
      </c>
      <c r="G35" s="6" t="inlineStr"/>
      <c r="H35" s="6" t="n">
        <v>5</v>
      </c>
      <c r="I35" s="6" t="inlineStr"/>
      <c r="J35" s="6" t="inlineStr"/>
      <c r="K35" s="6" t="n">
        <v>30</v>
      </c>
      <c r="L35" s="6" t="n">
        <v>3</v>
      </c>
      <c r="M35" s="7" t="inlineStr"/>
      <c r="N35" s="6" t="n">
        <v>100</v>
      </c>
      <c r="O35" s="7" t="inlineStr">
        <is>
          <t>Difficile à annuler</t>
        </is>
      </c>
      <c r="P35" s="6" t="inlineStr">
        <is>
          <t>Contestée</t>
        </is>
      </c>
      <c r="Q35" s="6" t="inlineStr">
        <is>
          <t>T69</t>
        </is>
      </c>
      <c r="R35" s="6" t="inlineStr"/>
      <c r="S35" s="7" t="inlineStr"/>
      <c r="T35" s="6" t="n">
        <v>2</v>
      </c>
      <c r="U35" s="7" t="inlineStr">
        <is>
          <t>Contrainte +8 seulement, sans friction. Utile là où rien d'autre n'existe.</t>
        </is>
      </c>
      <c r="V35" s="7" t="inlineStr">
        <is>
          <t>Ciment et chimie émettent par la réaction elle-même, pas par la combustion : l'électrification n'y peut rien.</t>
        </is>
      </c>
      <c r="W35" s="7" t="inlineStr">
        <is>
          <t>Sous-performance documentée de Boundary Dam et Petra Nova, taux de captage réels inférieurs aux annonces.</t>
        </is>
      </c>
      <c r="X35" s="7" t="inlineStr">
        <is>
          <t>La même technologie appliquée à la production électrique produit l'effet inverse : elle prolonge le parc fossile au lieu de traiter des émissions qu'aucune autre technique ne réduit.</t>
        </is>
      </c>
      <c r="Y35" s="7" t="inlineStr">
        <is>
          <t>Extension · paire pédagogique avec le piège P07 — réintégrer avec P07 ou pas du tout</t>
        </is>
      </c>
    </row>
    <row r="36">
      <c r="A36" s="6" t="inlineStr">
        <is>
          <t>A46</t>
        </is>
      </c>
      <c r="B36" s="6" t="inlineStr">
        <is>
          <t>Actif</t>
        </is>
      </c>
      <c r="C36" s="6" t="inlineStr">
        <is>
          <t>Technologique</t>
        </is>
      </c>
      <c r="D36" s="7" t="inlineStr">
        <is>
          <t>Programme nucléaire</t>
        </is>
      </c>
      <c r="E36" s="7" t="inlineStr"/>
      <c r="F36" s="6" t="inlineStr">
        <is>
          <t>Bloc</t>
        </is>
      </c>
      <c r="G36" s="6" t="inlineStr"/>
      <c r="H36" s="6" t="n">
        <v>5</v>
      </c>
      <c r="I36" s="6" t="inlineStr"/>
      <c r="J36" s="6" t="n">
        <v>3</v>
      </c>
      <c r="K36" s="6" t="inlineStr"/>
      <c r="L36" s="6" t="n">
        <v>2</v>
      </c>
      <c r="M36" s="7" t="inlineStr"/>
      <c r="N36" s="6" t="n">
        <v>100</v>
      </c>
      <c r="O36" s="7" t="inlineStr">
        <is>
          <t>Difficile à annuler</t>
        </is>
      </c>
      <c r="P36" s="6" t="inlineStr">
        <is>
          <t>Élevée</t>
        </is>
      </c>
      <c r="Q36" s="6" t="inlineStr">
        <is>
          <t>T72</t>
        </is>
      </c>
      <c r="R36" s="6" t="inlineStr"/>
      <c r="S36" s="7" t="inlineStr"/>
      <c r="T36" s="6" t="n">
        <v>3</v>
      </c>
      <c r="U36" s="7" t="inlineStr">
        <is>
          <t>Contrainte +15 dans trois tours, friction +8 immédiate.</t>
        </is>
      </c>
      <c r="V36" s="7" t="inlineStr">
        <is>
          <t>Effet réel et durable sur le mix, avec un délai de douze à dix-sept ans par réacteur. Le calendrier est le sujet, pas la technologie.</t>
        </is>
      </c>
      <c r="W36" s="7" t="inlineStr">
        <is>
          <t>Relance EPR2 en France (2022) ; dérives de Flamanville et Hinkley Point C.</t>
        </is>
      </c>
      <c r="X36" s="7" t="inlineStr">
        <is>
          <t>Fracture la coalition écologiste. Et le même programme, présenté comme une réponse à l'échéance de 2030 plutôt qu'à celle de 2050, sert d'argument à repousser tout le reste : la technologie est honnête, le calendrier qu'on lui prête ne l'est pas toujours.</t>
        </is>
      </c>
      <c r="Y36" s="7" t="inlineStr">
        <is>
          <t>Signature — fracture la coalition écologiste. Arme à double tranchant, incontournable en contexte français. Paire avec le piège P10</t>
        </is>
      </c>
    </row>
    <row r="37">
      <c r="A37" s="6" t="inlineStr">
        <is>
          <t>A47</t>
        </is>
      </c>
      <c r="B37" s="6" t="inlineStr">
        <is>
          <t>Actif</t>
        </is>
      </c>
      <c r="C37" s="6" t="inlineStr">
        <is>
          <t>Technologique</t>
        </is>
      </c>
      <c r="D37" s="7" t="inlineStr">
        <is>
          <t>Hydrogène pour l'industrie et le maritime</t>
        </is>
      </c>
      <c r="E37" s="7" t="inlineStr"/>
      <c r="F37" s="6" t="inlineStr">
        <is>
          <t>Bloc</t>
        </is>
      </c>
      <c r="G37" s="6" t="inlineStr"/>
      <c r="H37" s="6" t="n">
        <v>5</v>
      </c>
      <c r="I37" s="6" t="inlineStr"/>
      <c r="J37" s="6" t="n">
        <v>2</v>
      </c>
      <c r="K37" s="6" t="inlineStr"/>
      <c r="L37" s="6" t="n">
        <v>3</v>
      </c>
      <c r="M37" s="7" t="inlineStr">
        <is>
          <t>le réseau électrique, ou un indice technologique d'au moins 25</t>
        </is>
      </c>
      <c r="N37" s="6" t="n">
        <v>100</v>
      </c>
      <c r="O37" s="7" t="inlineStr">
        <is>
          <t>Difficile à annuler</t>
        </is>
      </c>
      <c r="P37" s="6" t="inlineStr">
        <is>
          <t>Contestée</t>
        </is>
      </c>
      <c r="Q37" s="6" t="inlineStr">
        <is>
          <t>T69</t>
        </is>
      </c>
      <c r="R37" s="6" t="inlineStr"/>
      <c r="S37" s="7" t="inlineStr"/>
      <c r="T37" s="6" t="n">
        <v>2</v>
      </c>
      <c r="U37" s="7" t="inlineStr">
        <is>
          <t>Contrainte +9 dans deux tours.</t>
        </is>
      </c>
      <c r="V37" s="7" t="inlineStr">
        <is>
          <t>Pertinent là où l'électrification directe est impossible : acier, ammoniac, navires longue distance.</t>
        </is>
      </c>
      <c r="W37" s="7" t="inlineStr">
        <is>
          <t>Stratégies hydrogène européennes et nationales depuis 2020, révisées à la baisse en 2024-2025.</t>
        </is>
      </c>
      <c r="X37" s="7" t="inlineStr">
        <is>
          <t>Le même vecteur appliqué à la voiture particulière perd les trois quarts de l'énergie en conversions successives, là où la batterie fait le trajet directement.</t>
        </is>
      </c>
      <c r="Y37" s="7" t="inlineStr">
        <is>
          <t>Extension · paire pédagogique avec le piège P04 — réintégrer avec P04 ou pas du tout</t>
        </is>
      </c>
    </row>
    <row r="38">
      <c r="A38" s="6" t="inlineStr">
        <is>
          <t>A48</t>
        </is>
      </c>
      <c r="B38" s="6" t="inlineStr">
        <is>
          <t>Actif</t>
        </is>
      </c>
      <c r="C38" s="6" t="inlineStr">
        <is>
          <t>Réglementaire</t>
        </is>
      </c>
      <c r="D38" s="7" t="inlineStr">
        <is>
          <t>Réduction des émissions agricoles</t>
        </is>
      </c>
      <c r="E38" s="7" t="inlineStr">
        <is>
          <t>agribashing</t>
        </is>
      </c>
      <c r="F38" s="6" t="inlineStr">
        <is>
          <t>Bloc</t>
        </is>
      </c>
      <c r="G38" s="6" t="n">
        <v>5</v>
      </c>
      <c r="H38" s="6" t="inlineStr"/>
      <c r="I38" s="6" t="inlineStr"/>
      <c r="J38" s="6" t="inlineStr"/>
      <c r="K38" s="6" t="n">
        <v>50</v>
      </c>
      <c r="L38" s="6" t="n">
        <v>2</v>
      </c>
      <c r="M38" s="7" t="inlineStr"/>
      <c r="N38" s="6" t="n">
        <v>56</v>
      </c>
      <c r="O38" s="7" t="inlineStr">
        <is>
          <t>Facile à annuler</t>
        </is>
      </c>
      <c r="P38" s="6" t="inlineStr">
        <is>
          <t>Moyenne</t>
        </is>
      </c>
      <c r="Q38" s="6" t="inlineStr">
        <is>
          <t>T41</t>
        </is>
      </c>
      <c r="R38" s="6" t="inlineStr"/>
      <c r="S38" s="7" t="inlineStr"/>
      <c r="T38" s="6" t="n">
        <v>4</v>
      </c>
      <c r="U38" s="7" t="inlineStr">
        <is>
          <t>Contrainte +13, friction +20. Le secteur le plus verrouillé politiquement.</t>
        </is>
      </c>
      <c r="V38" s="7" t="inlineStr">
        <is>
          <t>Méthane entérique, fertilisation azotée, cheptel. Un cinquième des émissions mondiales, presque jamais contraint.</t>
        </is>
      </c>
      <c r="W38" s="7" t="inlineStr">
        <is>
          <t>Objectifs agricoles retirés du Pacte vert européen après les mobilisations de 2024.</t>
        </is>
      </c>
      <c r="X38" s="7" t="inlineStr">
        <is>
          <t>Déclenche mécaniquement la fracturation de la coalition : c'est le levier préféré de l'adversaire pour détacher un groupe social.</t>
        </is>
      </c>
      <c r="Y38" s="7" t="inlineStr">
        <is>
          <t>Noyau · Émissions — le secteur le plus verrouillé politiquement ; paire avec T41</t>
        </is>
      </c>
    </row>
    <row r="39">
      <c r="A39" s="6" t="inlineStr">
        <is>
          <t>A49</t>
        </is>
      </c>
      <c r="B39" s="6" t="inlineStr">
        <is>
          <t>Actif</t>
        </is>
      </c>
      <c r="C39" s="6" t="inlineStr">
        <is>
          <t>Narratif</t>
        </is>
      </c>
      <c r="D39" s="7" t="inlineStr">
        <is>
          <t>Attribution rapide d'un événement extrême</t>
        </is>
      </c>
      <c r="E39" s="7" t="inlineStr">
        <is>
          <t>science militante</t>
        </is>
      </c>
      <c r="F39" s="6" t="inlineStr">
        <is>
          <t>Mondial</t>
        </is>
      </c>
      <c r="G39" s="6" t="inlineStr"/>
      <c r="H39" s="6" t="inlineStr"/>
      <c r="I39" s="6" t="n">
        <v>2</v>
      </c>
      <c r="J39" s="6" t="inlineStr"/>
      <c r="K39" s="6" t="inlineStr"/>
      <c r="L39" s="6" t="n">
        <v>1</v>
      </c>
      <c r="M39" s="7" t="inlineStr"/>
      <c r="N39" s="6" t="n">
        <v>100</v>
      </c>
      <c r="O39" s="7" t="inlineStr">
        <is>
          <t>Facile à annuler</t>
        </is>
      </c>
      <c r="P39" s="6" t="inlineStr">
        <is>
          <t>Élevée</t>
        </is>
      </c>
      <c r="Q39" s="6" t="inlineStr">
        <is>
          <t>T36</t>
        </is>
      </c>
      <c r="R39" s="6" t="inlineStr"/>
      <c r="S39" s="7" t="inlineStr">
        <is>
          <t>Fenêtre d'attention (avec A50)</t>
        </is>
      </c>
      <c r="T39" s="6" t="n">
        <v>3</v>
      </c>
      <c r="U39" s="7" t="inlineStr">
        <is>
          <t>Perçu +10 sur le bloc frappé, +4 ailleurs. Immunise contre la saturation ce tour-ci.</t>
        </is>
      </c>
      <c r="V39" s="7" t="inlineStr">
        <is>
          <t>Sans étude d'attribution, une catastrophe reste un fait divers météorologique. Avec, elle devient une conséquence datée et chiffrée.</t>
        </is>
      </c>
      <c r="W39" s="7" t="inlineStr">
        <is>
          <t>World Weather Attribution publie des études en quelques jours depuis 2015 ; canicule européenne de 2022 rendue au moins dix fois plus probable.</t>
        </is>
      </c>
      <c r="X39" s="7" t="inlineStr">
        <is>
          <t>La fenêtre se referme en une semaine. Jouée trop tard, la carte ne déplace plus rien.</t>
        </is>
      </c>
      <c r="Y39" s="7" t="inlineStr">
        <is>
          <t>Pilier · Opinion — mécanique centrale d'attribution. Sans elle, aucune catastrophe ne déplace de jauge</t>
        </is>
      </c>
    </row>
    <row r="40">
      <c r="A40" s="6" t="inlineStr">
        <is>
          <t>A50</t>
        </is>
      </c>
      <c r="B40" s="6" t="inlineStr">
        <is>
          <t>Actif</t>
        </is>
      </c>
      <c r="C40" s="6" t="inlineStr">
        <is>
          <t>Narratif</t>
        </is>
      </c>
      <c r="D40" s="7" t="inlineStr">
        <is>
          <t>Révéler la majorité silencieuse</t>
        </is>
      </c>
      <c r="E40" s="7" t="inlineStr">
        <is>
          <t>sondage militant</t>
        </is>
      </c>
      <c r="F40" s="6" t="inlineStr">
        <is>
          <t>Bloc</t>
        </is>
      </c>
      <c r="G40" s="6" t="inlineStr"/>
      <c r="H40" s="6" t="inlineStr"/>
      <c r="I40" s="6" t="n">
        <v>2</v>
      </c>
      <c r="J40" s="6" t="inlineStr"/>
      <c r="K40" s="6" t="inlineStr"/>
      <c r="L40" s="6" t="n">
        <v>1</v>
      </c>
      <c r="M40" s="7" t="inlineStr"/>
      <c r="N40" s="6" t="n">
        <v>100</v>
      </c>
      <c r="O40" s="7" t="inlineStr">
        <is>
          <t>Facile à annuler</t>
        </is>
      </c>
      <c r="P40" s="6" t="inlineStr">
        <is>
          <t>Élevée</t>
        </is>
      </c>
      <c r="Q40" s="6" t="inlineStr">
        <is>
          <t>T33</t>
        </is>
      </c>
      <c r="R40" s="6" t="inlineStr"/>
      <c r="S40" s="7" t="inlineStr">
        <is>
          <t>Fenêtre d'attention (avec A49)</t>
        </is>
      </c>
      <c r="T40" s="6" t="n">
        <v>4</v>
      </c>
      <c r="U40" s="7" t="inlineStr">
        <is>
          <t>Le perçu rattrape 60 % de son écart avec le soutien réel. Deux usages par partie.</t>
        </is>
      </c>
      <c r="V40" s="7" t="inlineStr">
        <is>
          <t>Les gens sous-estiment massivement le soutien des autres et se taisent en conséquence. Publier le chiffre réel casse la spirale du silence.</t>
        </is>
      </c>
      <c r="W40" s="7" t="inlineStr">
        <is>
          <t>Andre et al., Nature Climate Change 2024 : 69 % de soutien réel pour 43 % de soutien perçu, dans 125 pays.</t>
        </is>
      </c>
      <c r="X40" s="7" t="inlineStr">
        <is>
          <t>Ne crée rien : ne fait que révéler ce qui existe déjà. Sur un bloc au soutien réel faible, elle ne sert à rien.</t>
        </is>
      </c>
      <c r="Y40" s="7" t="inlineStr">
        <is>
          <t>Pilier · Opinion — mécanique signature du jeu (écart 69 % réel / 43 % perçu). Usage limité par partie</t>
        </is>
      </c>
    </row>
    <row r="41">
      <c r="A41" s="6" t="inlineStr">
        <is>
          <t>A51</t>
        </is>
      </c>
      <c r="B41" s="6" t="inlineStr">
        <is>
          <t>Actif</t>
        </is>
      </c>
      <c r="C41" s="6" t="inlineStr">
        <is>
          <t>Narratif</t>
        </is>
      </c>
      <c r="D41" s="7" t="inlineStr">
        <is>
          <t>Mobilisation de masse</t>
        </is>
      </c>
      <c r="E41" s="7" t="inlineStr">
        <is>
          <t>militantisme de rue</t>
        </is>
      </c>
      <c r="F41" s="6" t="inlineStr">
        <is>
          <t>Mondial</t>
        </is>
      </c>
      <c r="G41" s="6" t="inlineStr"/>
      <c r="H41" s="6" t="inlineStr"/>
      <c r="I41" s="6" t="n">
        <v>3</v>
      </c>
      <c r="J41" s="6" t="inlineStr"/>
      <c r="K41" s="6" t="inlineStr"/>
      <c r="L41" s="6" t="n">
        <v>1</v>
      </c>
      <c r="M41" s="7" t="inlineStr"/>
      <c r="N41" s="6" t="n">
        <v>100</v>
      </c>
      <c r="O41" s="7" t="inlineStr">
        <is>
          <t>Facile à annuler</t>
        </is>
      </c>
      <c r="P41" s="6" t="inlineStr">
        <is>
          <t>Moyenne</t>
        </is>
      </c>
      <c r="Q41" s="6" t="inlineStr">
        <is>
          <t>T36</t>
        </is>
      </c>
      <c r="R41" s="6" t="inlineStr"/>
      <c r="S41" s="7" t="inlineStr"/>
      <c r="T41" s="6" t="n">
        <v>3</v>
      </c>
      <c r="U41" s="7" t="inlineStr">
        <is>
          <t>Perçu +14 sur les trois blocs les plus favorables, puis −6 au tour suivant.</t>
        </is>
      </c>
      <c r="V41" s="7" t="inlineStr">
        <is>
          <t>Rouvre la fenêtre politique en rendant le soutien visible dans la rue. Effet fort et rapidement amorti.</t>
        </is>
      </c>
      <c r="W41" s="7" t="inlineStr">
        <is>
          <t>Marches climat mondiales de septembre 2019, plusieurs millions de participants ; reflux net après 2020.</t>
        </is>
      </c>
      <c r="X41" s="7" t="inlineStr">
        <is>
          <t>Un mouvement ne se rallume pas deux fois au même endroit. La démobilisation est plus rapide que la mobilisation.</t>
        </is>
      </c>
      <c r="Y41" s="7" t="inlineStr">
        <is>
          <t>Noyau · Opinion — effet fort et rapidement amorti : bonne courbe de décision</t>
        </is>
      </c>
    </row>
    <row r="42">
      <c r="A42" s="6" t="inlineStr">
        <is>
          <t>A52</t>
        </is>
      </c>
      <c r="B42" s="6" t="inlineStr">
        <is>
          <t>Actif</t>
        </is>
      </c>
      <c r="C42" s="6" t="inlineStr">
        <is>
          <t>Narratif</t>
        </is>
      </c>
      <c r="D42" s="7" t="inlineStr">
        <is>
          <t>Désobéissance civile</t>
        </is>
      </c>
      <c r="E42" s="7" t="inlineStr">
        <is>
          <t>blocage illégal</t>
        </is>
      </c>
      <c r="F42" s="6" t="inlineStr">
        <is>
          <t>Bloc</t>
        </is>
      </c>
      <c r="G42" s="6" t="n">
        <v>1</v>
      </c>
      <c r="H42" s="6" t="inlineStr"/>
      <c r="I42" s="6" t="n">
        <v>1</v>
      </c>
      <c r="J42" s="6" t="inlineStr"/>
      <c r="K42" s="6" t="inlineStr"/>
      <c r="L42" s="6" t="n">
        <v>2</v>
      </c>
      <c r="M42" s="7" t="inlineStr"/>
      <c r="N42" s="6" t="n">
        <v>58</v>
      </c>
      <c r="O42" s="7" t="inlineStr">
        <is>
          <t>Facile à annuler</t>
        </is>
      </c>
      <c r="P42" s="6" t="inlineStr">
        <is>
          <t>Contestée</t>
        </is>
      </c>
      <c r="Q42" s="6" t="inlineStr">
        <is>
          <t>T27</t>
        </is>
      </c>
      <c r="R42" s="6" t="inlineStr"/>
      <c r="S42" s="7" t="inlineStr">
        <is>
          <t>Le flanc et le centre (avec A57)</t>
        </is>
      </c>
      <c r="T42" s="6" t="n">
        <v>2</v>
      </c>
      <c r="U42" s="7" t="inlineStr">
        <is>
          <t>Soutien réel +9, perçu −6, friction +8, et votre crédibilité perd 8. Le seul levier qui peut vous coûter plus qu'il ne rapporte.</t>
        </is>
      </c>
      <c r="V42" s="7" t="inlineStr">
        <is>
          <t>Le flanc radical déplace la fenêtre : ce qui paraissait extrême devient le compromis, et l'organisation modérée qui négocie à côté paraît raisonnable. Le soutien de fond monte pendant que l'opinion affichée se braque.</t>
        </is>
      </c>
      <c r="W42" s="7" t="inlineStr">
        <is>
          <t>Just Stop Oil au Royaume-Uni et Dernière Rénovation en France depuis 2022 ; littérature empirique sur l'effet de flanc radical, dont les résultats restent partagés.</t>
        </is>
      </c>
      <c r="X42" s="7" t="inlineStr">
        <is>
          <t>L'effet net est contesté et il est retardé : le perçu tombe tout de suite, le réel ne se convertit qu'au fil des tours. Joué trop tard, il ne rapporte rien et coûte la crédibilité.</t>
        </is>
      </c>
      <c r="Y42" s="7" t="inlineStr">
        <is>
          <t>Extension · effet net contesté, peut nuire au camp qui le joue. Excellente carte à risque, à tester en priorité</t>
        </is>
      </c>
    </row>
    <row r="43">
      <c r="A43" s="6" t="inlineStr">
        <is>
          <t>A53</t>
        </is>
      </c>
      <c r="B43" s="6" t="inlineStr">
        <is>
          <t>Actif</t>
        </is>
      </c>
      <c r="C43" s="6" t="inlineStr">
        <is>
          <t>Narratif</t>
        </is>
      </c>
      <c r="D43" s="7" t="inlineStr">
        <is>
          <t>Éducation et formation</t>
        </is>
      </c>
      <c r="E43" s="7" t="inlineStr">
        <is>
          <t>endoctrinement scolaire</t>
        </is>
      </c>
      <c r="F43" s="6" t="inlineStr">
        <is>
          <t>Bloc</t>
        </is>
      </c>
      <c r="G43" s="6" t="inlineStr"/>
      <c r="H43" s="6" t="n">
        <v>2</v>
      </c>
      <c r="I43" s="6" t="inlineStr"/>
      <c r="J43" s="6" t="n">
        <v>1</v>
      </c>
      <c r="K43" s="6" t="inlineStr"/>
      <c r="L43" s="6" t="n">
        <v>1</v>
      </c>
      <c r="M43" s="7" t="inlineStr"/>
      <c r="N43" s="6" t="n">
        <v>100</v>
      </c>
      <c r="O43" s="7" t="inlineStr">
        <is>
          <t>Irréversible</t>
        </is>
      </c>
      <c r="P43" s="6" t="inlineStr">
        <is>
          <t>Élevée</t>
        </is>
      </c>
      <c r="Q43" s="6" t="inlineStr">
        <is>
          <t>T61</t>
        </is>
      </c>
      <c r="R43" s="6" t="inlineStr"/>
      <c r="S43" s="7" t="inlineStr"/>
      <c r="T43" s="6" t="n">
        <v>3</v>
      </c>
      <c r="U43" s="7" t="inlineStr">
        <is>
          <t>Soutien réel +5 sur le bloc, définitivement. Aucun contre-levier.</t>
        </is>
      </c>
      <c r="V43" s="7" t="inlineStr">
        <is>
          <t>Déplace le soutien réel et non le perçu — le seul de ce catalogue à le faire. Ce qui est acquis ici ne se reperd pas.</t>
        </is>
      </c>
      <c r="W43" s="7" t="inlineStr">
        <is>
          <t>Intégration des enjeux climatiques dans les cursus ; formation des cadres dirigeants et des élus depuis 2019.</t>
        </is>
      </c>
      <c r="X43" s="7" t="inlineStr">
        <is>
          <t>Effet minuscule à l'échelle d'un tour. C'est un levier de fin de partie joué en début de partie.</t>
        </is>
      </c>
      <c r="Y43" s="7" t="inlineStr">
        <is>
          <t>Noyau · Opinion — le seul levier lent et sûr : déplace le réel, incontrable</t>
        </is>
      </c>
    </row>
    <row r="44">
      <c r="A44" s="6" t="inlineStr">
        <is>
          <t>A54</t>
        </is>
      </c>
      <c r="B44" s="6" t="inlineStr">
        <is>
          <t>Actif</t>
        </is>
      </c>
      <c r="C44" s="6" t="inlineStr">
        <is>
          <t>Narratif</t>
        </is>
      </c>
      <c r="D44" s="7" t="inlineStr">
        <is>
          <t>Journalisme d'investigation</t>
        </is>
      </c>
      <c r="E44" s="7" t="inlineStr">
        <is>
          <t>procès d'intention</t>
        </is>
      </c>
      <c r="F44" s="6" t="inlineStr">
        <is>
          <t>Bloc</t>
        </is>
      </c>
      <c r="G44" s="6" t="inlineStr"/>
      <c r="H44" s="6" t="n">
        <v>3</v>
      </c>
      <c r="I44" s="6" t="inlineStr"/>
      <c r="J44" s="6" t="inlineStr"/>
      <c r="K44" s="6" t="inlineStr"/>
      <c r="L44" s="6" t="n">
        <v>2</v>
      </c>
      <c r="M44" s="7" t="inlineStr"/>
      <c r="N44" s="6" t="n">
        <v>100</v>
      </c>
      <c r="O44" s="7" t="inlineStr">
        <is>
          <t>Irréversible</t>
        </is>
      </c>
      <c r="P44" s="6" t="inlineStr">
        <is>
          <t>Élevée</t>
        </is>
      </c>
      <c r="Q44" s="6" t="inlineStr">
        <is>
          <t>T10</t>
        </is>
      </c>
      <c r="R44" s="6" t="inlineStr"/>
      <c r="S44" s="7" t="inlineStr">
        <is>
          <t>Coupure médiatique (avec A17) · Le dossier et le procès (avec A37)</t>
        </is>
      </c>
      <c r="T44" s="6" t="n">
        <v>3</v>
      </c>
      <c r="U44" s="7" t="inlineStr">
        <is>
          <t>Crédibilité adverse −14, perçu +6 sur le bloc. Un seul coup par cible.</t>
        </is>
      </c>
      <c r="V44" s="7" t="inlineStr">
        <is>
          <t>Révéler ce que l'adversaire savait et quand il le savait déplace le débat du désaccord vers le mensonge.</t>
        </is>
      </c>
      <c r="W44" s="7" t="inlineStr">
        <is>
          <t>Exxon Knew (2015) : projections internes exactes dès les années 1970, publiquement contredites ensuite.</t>
        </is>
      </c>
      <c r="X44" s="7" t="inlineStr">
        <is>
          <t>Cible directe des procédures-bâillon : la source peut être supprimée avant la publication suivante.</t>
        </is>
      </c>
      <c r="Y44" s="7" t="inlineStr">
        <is>
          <t>Noyau · Opinion — irréversible, détruit la crédibilité adverse. Un coup par cible</t>
        </is>
      </c>
    </row>
    <row r="45">
      <c r="A45" s="6" t="inlineStr">
        <is>
          <t>A57</t>
        </is>
      </c>
      <c r="B45" s="6" t="inlineStr">
        <is>
          <t>Actif</t>
        </is>
      </c>
      <c r="C45" s="6" t="inlineStr">
        <is>
          <t>Narratif</t>
        </is>
      </c>
      <c r="D45" s="7" t="inlineStr">
        <is>
          <t>Récit désirable plutôt que punitif</t>
        </is>
      </c>
      <c r="E45" s="7" t="inlineStr">
        <is>
          <t>communication d'État</t>
        </is>
      </c>
      <c r="F45" s="6" t="inlineStr">
        <is>
          <t>Bloc</t>
        </is>
      </c>
      <c r="G45" s="6" t="inlineStr"/>
      <c r="H45" s="6" t="inlineStr"/>
      <c r="I45" s="6" t="n">
        <v>2</v>
      </c>
      <c r="J45" s="6" t="inlineStr"/>
      <c r="K45" s="6" t="inlineStr"/>
      <c r="L45" s="6" t="n">
        <v>1</v>
      </c>
      <c r="M45" s="7" t="inlineStr"/>
      <c r="N45" s="6" t="n">
        <v>100</v>
      </c>
      <c r="O45" s="7" t="inlineStr">
        <is>
          <t>Facile à annuler</t>
        </is>
      </c>
      <c r="P45" s="6" t="inlineStr">
        <is>
          <t>Moyenne</t>
        </is>
      </c>
      <c r="Q45" s="6" t="inlineStr">
        <is>
          <t>T09</t>
        </is>
      </c>
      <c r="R45" s="6" t="inlineStr"/>
      <c r="S45" s="7" t="inlineStr">
        <is>
          <t>Le flanc et le centre (avec A52)</t>
        </is>
      </c>
      <c r="T45" s="6" t="n">
        <v>4</v>
      </c>
      <c r="U45" s="7" t="inlineStr">
        <is>
          <t>Soutien réel +4 et friction −9.</t>
        </is>
      </c>
      <c r="V45" s="7" t="inlineStr">
        <is>
          <t>Décrire ce que l'on gagne plutôt que ce que l'on perd désarme la défense du mode de vie sans rien concéder sur le fond.</t>
        </is>
      </c>
      <c r="W45" s="7" t="inlineStr">
        <is>
          <t>Bascule des campagnes de rénovation vers le confort et la facture plutôt que la contrainte carbone.</t>
        </is>
      </c>
      <c r="X45" s="7" t="inlineStr">
        <is>
          <t>Inopérant si les mesures effectivement jouées sont punitives : le récit ne survit pas au démenti.</t>
        </is>
      </c>
      <c r="Y45" s="7" t="inlineStr">
        <is>
          <t>Noyau · Opinion — santé, facture, air : plus efficace que le récit catastrophe</t>
        </is>
      </c>
    </row>
    <row r="46">
      <c r="A46" s="6" t="inlineStr">
        <is>
          <t>A59</t>
        </is>
      </c>
      <c r="B46" s="6" t="inlineStr">
        <is>
          <t>Actif</t>
        </is>
      </c>
      <c r="C46" s="6" t="inlineStr">
        <is>
          <t>Électoral</t>
        </is>
      </c>
      <c r="D46" s="7" t="inlineStr">
        <is>
          <t>Faire du climat un enjeu de campagne</t>
        </is>
      </c>
      <c r="E46" s="7" t="inlineStr">
        <is>
          <t>instrumentalisation électorale</t>
        </is>
      </c>
      <c r="F46" s="6" t="inlineStr">
        <is>
          <t>Bloc</t>
        </is>
      </c>
      <c r="G46" s="6" t="n">
        <v>3</v>
      </c>
      <c r="H46" s="6" t="inlineStr"/>
      <c r="I46" s="6" t="inlineStr"/>
      <c r="J46" s="6" t="inlineStr"/>
      <c r="K46" s="6" t="n">
        <v>50</v>
      </c>
      <c r="L46" s="6" t="n">
        <v>1</v>
      </c>
      <c r="M46" s="7" t="inlineStr"/>
      <c r="N46" s="6" t="n">
        <v>64</v>
      </c>
      <c r="O46" s="7" t="inlineStr">
        <is>
          <t>Facile à annuler</t>
        </is>
      </c>
      <c r="P46" s="6" t="inlineStr">
        <is>
          <t>Élevée</t>
        </is>
      </c>
      <c r="Q46" s="6" t="inlineStr">
        <is>
          <t>T62</t>
        </is>
      </c>
      <c r="R46" s="6" t="inlineStr"/>
      <c r="S46" s="7" t="inlineStr"/>
      <c r="T46" s="6" t="n">
        <v>3</v>
      </c>
      <c r="U46" s="7" t="inlineStr">
        <is>
          <t>Contrainte +14 si le perçu dépasse 50. Sinon la campagne est perdue : perçu −8.</t>
        </is>
      </c>
      <c r="V46" s="7" t="inlineStr">
        <is>
          <t>Convertit le soutien perçu en mandat. C'est le seul levier qui transforme une opinion en autorisation d'agir.</t>
        </is>
      </c>
      <c r="W46" s="7" t="inlineStr">
        <is>
          <t>Élections européennes de 2019, vague verte ; reflux net de 2024.</t>
        </is>
      </c>
      <c r="X46" s="7" t="inlineStr">
        <is>
          <t>Vérifier la jauge avant de jouer : sur un perçu bas, la carte se retourne intégralement.</t>
        </is>
      </c>
      <c r="Y46" s="7" t="inlineStr">
        <is>
          <t>Noyau · Coalition — convertit le soutien perçu en mandat ; échoue si la jauge perçue est basse</t>
        </is>
      </c>
    </row>
    <row r="47">
      <c r="A47" s="6" t="inlineStr">
        <is>
          <t>A60</t>
        </is>
      </c>
      <c r="B47" s="6" t="inlineStr">
        <is>
          <t>Actif</t>
        </is>
      </c>
      <c r="C47" s="6" t="inlineStr">
        <is>
          <t>Électoral</t>
        </is>
      </c>
      <c r="D47" s="7" t="inlineStr">
        <is>
          <t>Coalition climat, emploi et pouvoir d'achat</t>
        </is>
      </c>
      <c r="E47" s="7" t="inlineStr">
        <is>
          <t>clientélisme vert</t>
        </is>
      </c>
      <c r="F47" s="6" t="inlineStr">
        <is>
          <t>Bloc</t>
        </is>
      </c>
      <c r="G47" s="6" t="n">
        <v>4</v>
      </c>
      <c r="H47" s="6" t="inlineStr"/>
      <c r="I47" s="6" t="inlineStr"/>
      <c r="J47" s="6" t="inlineStr"/>
      <c r="K47" s="6" t="inlineStr"/>
      <c r="L47" s="6" t="n">
        <v>1</v>
      </c>
      <c r="M47" s="7" t="inlineStr"/>
      <c r="N47" s="6" t="n">
        <v>100</v>
      </c>
      <c r="O47" s="7" t="inlineStr">
        <is>
          <t>Difficile à annuler</t>
        </is>
      </c>
      <c r="P47" s="6" t="inlineStr">
        <is>
          <t>Élevée</t>
        </is>
      </c>
      <c r="Q47" s="6" t="inlineStr">
        <is>
          <t>T41</t>
        </is>
      </c>
      <c r="R47" s="6" t="inlineStr"/>
      <c r="S47" s="7" t="inlineStr"/>
      <c r="T47" s="6" t="n">
        <v>4</v>
      </c>
      <c r="U47" s="7" t="inlineStr">
        <is>
          <t>Friction −14 et immunité partielle contre l'instrumentalisation du coût de la vie.</t>
        </is>
      </c>
      <c r="V47" s="7" t="inlineStr">
        <is>
          <t>Vendre la politique climatique comme politique industrielle et sociale retire à l'adversaire son angle d'attaque principal.</t>
        </is>
      </c>
      <c r="W47" s="7" t="inlineStr">
        <is>
          <t>Architecture de l'Inflation Reduction Act, présenté comme une loi sur l'inflation et l'emploi.</t>
        </is>
      </c>
      <c r="X47" s="7" t="inlineStr">
        <is>
          <t>Coûte cher en concessions : chaque groupe rallié obtient son exemption.</t>
        </is>
      </c>
      <c r="Y47" s="7" t="inlineStr">
        <is>
          <t>Noyau · Coalition — immunise partiellement contre T39. Coûte cher en concessions</t>
        </is>
      </c>
    </row>
    <row r="48">
      <c r="A48" s="6" t="inlineStr">
        <is>
          <t>A61</t>
        </is>
      </c>
      <c r="B48" s="6" t="inlineStr">
        <is>
          <t>Actif</t>
        </is>
      </c>
      <c r="C48" s="6" t="inlineStr">
        <is>
          <t>Électoral</t>
        </is>
      </c>
      <c r="D48" s="7" t="inlineStr">
        <is>
          <t>Ancrage local et réseaux de villes</t>
        </is>
      </c>
      <c r="E48" s="7" t="inlineStr">
        <is>
          <t>écologie punitive municipale</t>
        </is>
      </c>
      <c r="F48" s="6" t="inlineStr">
        <is>
          <t>Bloc</t>
        </is>
      </c>
      <c r="G48" s="6" t="n">
        <v>2</v>
      </c>
      <c r="H48" s="6" t="inlineStr"/>
      <c r="I48" s="6" t="inlineStr"/>
      <c r="J48" s="6" t="inlineStr"/>
      <c r="K48" s="6" t="inlineStr"/>
      <c r="L48" s="6" t="n">
        <v>1</v>
      </c>
      <c r="M48" s="7" t="inlineStr"/>
      <c r="N48" s="6" t="n">
        <v>84</v>
      </c>
      <c r="O48" s="7" t="inlineStr">
        <is>
          <t>Facile à annuler</t>
        </is>
      </c>
      <c r="P48" s="6" t="inlineStr">
        <is>
          <t>Élevée</t>
        </is>
      </c>
      <c r="Q48" s="6" t="inlineStr">
        <is>
          <t>T19</t>
        </is>
      </c>
      <c r="R48" s="6" t="inlineStr"/>
      <c r="S48" s="7" t="inlineStr"/>
      <c r="T48" s="6" t="n">
        <v>3</v>
      </c>
      <c r="U48" s="7" t="inlineStr">
        <is>
          <t>Contrainte +8. Jouable même sur un bloc préempté.</t>
        </is>
      </c>
      <c r="V48" s="7" t="inlineStr">
        <is>
          <t>Contourne le blocage national par l'échelon urbain, où les majorités climatiques sont plus solides.</t>
        </is>
      </c>
      <c r="W48" s="7" t="inlineStr">
        <is>
          <t>C40 Cities ; Convention des maires. Zones à faibles émissions déployées dans plus de 300 villes européennes.</t>
        </is>
      </c>
      <c r="X48" s="7" t="inlineStr">
        <is>
          <t>Neutralisé par la préemption législative : plus de vingt États américains interdisent à leurs villes de bannir le gaz depuis 2020.</t>
        </is>
      </c>
      <c r="Y48" s="7" t="inlineStr">
        <is>
          <t>Noyau · Coalition — contourne le blocage national ; paire avec T19 (préemption)</t>
        </is>
      </c>
    </row>
    <row r="49">
      <c r="A49" s="6" t="inlineStr">
        <is>
          <t>A62</t>
        </is>
      </c>
      <c r="B49" s="6" t="inlineStr">
        <is>
          <t>Actif</t>
        </is>
      </c>
      <c r="C49" s="6" t="inlineStr">
        <is>
          <t>Électoral</t>
        </is>
      </c>
      <c r="D49" s="7" t="inlineStr">
        <is>
          <t>Dépolitisation et accord transpartisan</t>
        </is>
      </c>
      <c r="E49" s="7" t="inlineStr">
        <is>
          <t>confiscation du débat</t>
        </is>
      </c>
      <c r="F49" s="6" t="inlineStr">
        <is>
          <t>Bloc</t>
        </is>
      </c>
      <c r="G49" s="6" t="n">
        <v>5</v>
      </c>
      <c r="H49" s="6" t="inlineStr"/>
      <c r="I49" s="6" t="inlineStr"/>
      <c r="J49" s="6" t="inlineStr"/>
      <c r="K49" s="6" t="n">
        <v>60</v>
      </c>
      <c r="L49" s="6" t="n">
        <v>3</v>
      </c>
      <c r="M49" s="7" t="inlineStr"/>
      <c r="N49" s="6" t="n">
        <v>45</v>
      </c>
      <c r="O49" s="7" t="inlineStr">
        <is>
          <t>Irréversible</t>
        </is>
      </c>
      <c r="P49" s="6" t="inlineStr">
        <is>
          <t>Élevée</t>
        </is>
      </c>
      <c r="Q49" s="6" t="inlineStr">
        <is>
          <t>T38</t>
        </is>
      </c>
      <c r="R49" s="6" t="inlineStr"/>
      <c r="S49" s="7" t="inlineStr"/>
      <c r="T49" s="6" t="n">
        <v>5</v>
      </c>
      <c r="U49" s="7" t="inlineStr">
        <is>
          <t>Verrouille le bloc et le rend insensible à la guerre culturelle pour le reste de la partie.</t>
        </is>
      </c>
      <c r="V49" s="7" t="inlineStr">
        <is>
          <t>Sortir le sujet du clivage partisan rend la politique insensible à l'alternance. C'est ce qui a permis au Climate Change Act de survivre à quatre alternances.</t>
        </is>
      </c>
      <c r="W49" s="7" t="inlineStr">
        <is>
          <t>Climate Change Act britannique de 2008, adopté à cinq voix contre, jamais abrogé depuis malgré quatre alternances.</t>
        </is>
      </c>
      <c r="X49" s="7" t="inlineStr">
        <is>
          <t>Presque impossible à obtenir après polarisation. Si la guerre culturelle a déjà été jouée ici, la carte est morte.</t>
        </is>
      </c>
      <c r="Y49" s="7" t="inlineStr">
        <is>
          <t>Pilier · Verrou — puissance 5, irréversible, presque impossible après polarisation. Objectif de fin de partie</t>
        </is>
      </c>
    </row>
    <row r="50">
      <c r="A50" s="6" t="inlineStr">
        <is>
          <t>A63</t>
        </is>
      </c>
      <c r="B50" s="6" t="inlineStr">
        <is>
          <t>Actif</t>
        </is>
      </c>
      <c r="C50" s="6" t="inlineStr">
        <is>
          <t>Électoral</t>
        </is>
      </c>
      <c r="D50" s="7" t="inlineStr">
        <is>
          <t>Institution indépendante de suivi</t>
        </is>
      </c>
      <c r="E50" s="7" t="inlineStr">
        <is>
          <t>comité Théodule</t>
        </is>
      </c>
      <c r="F50" s="6" t="inlineStr">
        <is>
          <t>Bloc</t>
        </is>
      </c>
      <c r="G50" s="6" t="n">
        <v>2</v>
      </c>
      <c r="H50" s="6" t="inlineStr"/>
      <c r="I50" s="6" t="inlineStr"/>
      <c r="J50" s="6" t="inlineStr"/>
      <c r="K50" s="6" t="inlineStr"/>
      <c r="L50" s="6" t="n">
        <v>1</v>
      </c>
      <c r="M50" s="7" t="inlineStr"/>
      <c r="N50" s="6" t="n">
        <v>80</v>
      </c>
      <c r="O50" s="7" t="inlineStr">
        <is>
          <t>Difficile à annuler</t>
        </is>
      </c>
      <c r="P50" s="6" t="inlineStr">
        <is>
          <t>Élevée</t>
        </is>
      </c>
      <c r="Q50" s="6" t="inlineStr">
        <is>
          <t>T21</t>
        </is>
      </c>
      <c r="R50" s="6" t="inlineStr"/>
      <c r="S50" s="7" t="inlineStr">
        <is>
          <t>Trajectoire opposable (avec A12)</t>
        </is>
      </c>
      <c r="T50" s="6" t="n">
        <v>3</v>
      </c>
      <c r="U50" s="7" t="inlineStr">
        <is>
          <t>Perçu +4 par tour sur le bloc jusqu'à la fin de la partie. Révèle la capture de subvention.</t>
        </is>
      </c>
      <c r="V50" s="7" t="inlineStr">
        <is>
          <t>Ne décide rien, mais rend l'écart entre annonces et actes publiquement mesurable à chaque tour.</t>
        </is>
      </c>
      <c r="W50" s="7" t="inlineStr">
        <is>
          <t>Committee on Climate Change britannique (2008) ; Haut Conseil pour le Climat français (2019).</t>
        </is>
      </c>
      <c r="X50" s="7" t="inlineStr">
        <is>
          <t>Un rapport annuel ignoré reste un rapport annuel. Son pouvoir dépend entièrement de la reprise médiatique.</t>
        </is>
      </c>
      <c r="Y50" s="7" t="inlineStr">
        <is>
          <t>Noyau · Coalition — rend l'inaction publiquement mesurable à chaque tour</t>
        </is>
      </c>
    </row>
    <row r="51">
      <c r="A51" s="6" t="inlineStr">
        <is>
          <t>A64</t>
        </is>
      </c>
      <c r="B51" s="6" t="inlineStr">
        <is>
          <t>Actif</t>
        </is>
      </c>
      <c r="C51" s="6" t="inlineStr">
        <is>
          <t>Électoral</t>
        </is>
      </c>
      <c r="D51" s="7" t="inlineStr">
        <is>
          <t>Constitutionnalisation de l'objectif climat</t>
        </is>
      </c>
      <c r="E51" s="7" t="inlineStr">
        <is>
          <t>graver dans le marbre</t>
        </is>
      </c>
      <c r="F51" s="6" t="inlineStr">
        <is>
          <t>Bloc</t>
        </is>
      </c>
      <c r="G51" s="6" t="n">
        <v>5</v>
      </c>
      <c r="H51" s="6" t="inlineStr"/>
      <c r="I51" s="6" t="inlineStr"/>
      <c r="J51" s="6" t="n">
        <v>2</v>
      </c>
      <c r="K51" s="6" t="n">
        <v>55</v>
      </c>
      <c r="L51" s="6" t="n">
        <v>3</v>
      </c>
      <c r="M51" s="7" t="inlineStr">
        <is>
          <t>une loi-cadre déjà en vigueur quelque part — on ne constitutionnalise pas à froid</t>
        </is>
      </c>
      <c r="N51" s="6" t="n">
        <v>40</v>
      </c>
      <c r="O51" s="7" t="inlineStr">
        <is>
          <t>Irréversible</t>
        </is>
      </c>
      <c r="P51" s="6" t="inlineStr">
        <is>
          <t>Élevée</t>
        </is>
      </c>
      <c r="Q51" s="6" t="inlineStr">
        <is>
          <t>T28</t>
        </is>
      </c>
      <c r="R51" s="6" t="inlineStr"/>
      <c r="S51" s="7" t="inlineStr"/>
      <c r="T51" s="6" t="n">
        <v>5</v>
      </c>
      <c r="U51" s="7" t="inlineStr">
        <is>
          <t>Dans deux tours : le bloc est protégé définitivement et gagne 8 de contrainte. Deux chances sur cinq d'aboutir.</t>
        </is>
      </c>
      <c r="V51" s="7" t="inlineStr">
        <is>
          <t>Inscrire l'objectif au niveau constitutionnel place la mesure hors de portée d'une majorité ordinaire. C'est le seul verrou du jeu qu'une alternance ne défait pas.</t>
        </is>
      </c>
      <c r="W51" s="7" t="inlineStr">
        <is>
          <t>Projet de révision constitutionnelle française sur la préservation de l'environnement, adopté par l'Assemblée en 2021 puis abandonné faute d'accord au Sénat.</t>
        </is>
      </c>
      <c r="X51" s="7" t="inlineStr">
        <is>
          <t>Coût politique maximal et échec fréquent : la procédure exige une majorité qualifiée ou un référendum, et l'échec consomme tout le capital engagé.</t>
        </is>
      </c>
      <c r="Y51" s="7" t="inlineStr">
        <is>
          <t>Extension · niveau Expert, coût politique maximal, échec fréquent</t>
        </is>
      </c>
    </row>
    <row r="52">
      <c r="A52" s="6" t="inlineStr">
        <is>
          <t>A65</t>
        </is>
      </c>
      <c r="B52" s="6" t="inlineStr">
        <is>
          <t>Actif</t>
        </is>
      </c>
      <c r="C52" s="6" t="inlineStr">
        <is>
          <t>International</t>
        </is>
      </c>
      <c r="D52" s="7" t="inlineStr">
        <is>
          <t>Accord multilatéral à cliquet</t>
        </is>
      </c>
      <c r="E52" s="7" t="inlineStr">
        <is>
          <t>diplomatie sans effet</t>
        </is>
      </c>
      <c r="F52" s="6" t="inlineStr">
        <is>
          <t>Mondial</t>
        </is>
      </c>
      <c r="G52" s="6" t="n">
        <v>4</v>
      </c>
      <c r="H52" s="6" t="inlineStr"/>
      <c r="I52" s="6" t="inlineStr"/>
      <c r="J52" s="6" t="n">
        <v>2</v>
      </c>
      <c r="K52" s="6" t="inlineStr"/>
      <c r="L52" s="6" t="n">
        <v>3</v>
      </c>
      <c r="M52" s="7" t="inlineStr">
        <is>
          <t>un protocole sectoriel, ou trois blocs déjà contraints à 20</t>
        </is>
      </c>
      <c r="N52" s="6" t="n">
        <v>100</v>
      </c>
      <c r="O52" s="7" t="inlineStr">
        <is>
          <t>Difficile à annuler</t>
        </is>
      </c>
      <c r="P52" s="6" t="inlineStr">
        <is>
          <t>Élevée</t>
        </is>
      </c>
      <c r="Q52" s="6" t="inlineStr">
        <is>
          <t>T64</t>
        </is>
      </c>
      <c r="R52" s="6" t="inlineStr"/>
      <c r="S52" s="7" t="inlineStr">
        <is>
          <t>Confiance multilatérale (avec A29) · Le club et le cliquet (avec A66)</t>
        </is>
      </c>
      <c r="T52" s="6" t="n">
        <v>4</v>
      </c>
      <c r="U52" s="7" t="inlineStr">
        <is>
          <t>Contrainte +4 partout dans deux tours, puis +2 par tour ensuite. Aucun effet immédiat.</t>
        </is>
      </c>
      <c r="V52" s="7" t="inlineStr">
        <is>
          <t>Ne réduit rien directement : installe un mécanisme de révision périodique qui rend le recul coûteux en réputation.</t>
        </is>
      </c>
      <c r="W52" s="7" t="inlineStr">
        <is>
          <t>Accord de Paris, décembre 2015 — le point de départ de cette partie. Trajectoire mondiale passée de 3,6 °C à 2,6 °C entre 2015 et 2025.</t>
        </is>
      </c>
      <c r="X52" s="7" t="inlineStr">
        <is>
          <t>Aucune sanction. Tout repose sur la transparence et la pression des pairs.</t>
        </is>
      </c>
      <c r="Y52" s="7" t="inlineStr">
        <is>
          <t>Obligatoire · International — c'est le tour 1 de la partie (Paris, décembre 2015)</t>
        </is>
      </c>
    </row>
    <row r="53">
      <c r="A53" s="6" t="inlineStr">
        <is>
          <t>A66</t>
        </is>
      </c>
      <c r="B53" s="6" t="inlineStr">
        <is>
          <t>Actif</t>
        </is>
      </c>
      <c r="C53" s="6" t="inlineStr">
        <is>
          <t>International</t>
        </is>
      </c>
      <c r="D53" s="7" t="inlineStr">
        <is>
          <t>Coalition de volontaires</t>
        </is>
      </c>
      <c r="E53" s="7" t="inlineStr">
        <is>
          <t>club des vertueux</t>
        </is>
      </c>
      <c r="F53" s="6" t="inlineStr">
        <is>
          <t>Mondial</t>
        </is>
      </c>
      <c r="G53" s="6" t="n">
        <v>3</v>
      </c>
      <c r="H53" s="6" t="n">
        <v>2</v>
      </c>
      <c r="I53" s="6" t="inlineStr"/>
      <c r="J53" s="6" t="n">
        <v>1</v>
      </c>
      <c r="K53" s="6" t="inlineStr"/>
      <c r="L53" s="6" t="n">
        <v>2</v>
      </c>
      <c r="M53" s="7" t="inlineStr">
        <is>
          <t>trois blocs déjà contraints à 15 — une coalition réunit ceux qui agissaient déjà</t>
        </is>
      </c>
      <c r="N53" s="6" t="n">
        <v>74</v>
      </c>
      <c r="O53" s="7" t="inlineStr">
        <is>
          <t>Difficile à annuler</t>
        </is>
      </c>
      <c r="P53" s="6" t="inlineStr">
        <is>
          <t>Moyenne</t>
        </is>
      </c>
      <c r="Q53" s="6" t="inlineStr">
        <is>
          <t>T18</t>
        </is>
      </c>
      <c r="R53" s="6" t="inlineStr"/>
      <c r="S53" s="7" t="inlineStr">
        <is>
          <t>Le club et le cliquet (avec A65)</t>
        </is>
      </c>
      <c r="T53" s="6" t="n">
        <v>3</v>
      </c>
      <c r="U53" s="7" t="inlineStr">
        <is>
          <t>Contrainte +5 au tour suivant sur les quatre blocs déjà les plus contraints. Ne dépend d'aucun consensus.</t>
        </is>
      </c>
      <c r="V53" s="7" t="inlineStr">
        <is>
          <t>Plutôt que d'attendre l'unanimité, réunir ceux qui sont prêts et fixer la norme entre eux. Le club devient le standard, et les autres le rejoignent par intérêt commercial.</t>
        </is>
      </c>
      <c r="W53" s="7" t="inlineStr">
        <is>
          <t>Powering Past Coal Alliance, 2017 ; Beyond Oil and Gas Alliance, 2021 ; alliances sur le méthane depuis 2021.</t>
        </is>
      </c>
      <c r="X53" s="7" t="inlineStr">
        <is>
          <t>Une coalition de volontaires réunit ceux qui agissaient déjà. Elle ne touche pas les blocs qui décident du total.</t>
        </is>
      </c>
      <c r="Y53" s="7" t="inlineStr">
        <is>
          <t>Extension · contourne l'unanimité ; réintégrer si la couche internationale est trop pauvre</t>
        </is>
      </c>
    </row>
    <row r="54">
      <c r="A54" s="8" t="inlineStr">
        <is>
          <t>A67</t>
        </is>
      </c>
      <c r="B54" s="8" t="inlineStr">
        <is>
          <t>Actif</t>
        </is>
      </c>
      <c r="C54" s="8" t="inlineStr">
        <is>
          <t>International</t>
        </is>
      </c>
      <c r="D54" s="9" t="inlineStr">
        <is>
          <t>Protocole sectoriel contraignant</t>
        </is>
      </c>
      <c r="E54" s="9" t="inlineStr">
        <is>
          <t>abandon de souveraineté</t>
        </is>
      </c>
      <c r="F54" s="8" t="inlineStr">
        <is>
          <t>Mondial</t>
        </is>
      </c>
      <c r="G54" s="8" t="n">
        <v>4</v>
      </c>
      <c r="H54" s="8" t="inlineStr"/>
      <c r="I54" s="8" t="inlineStr"/>
      <c r="J54" s="8" t="n">
        <v>1</v>
      </c>
      <c r="K54" s="8" t="inlineStr"/>
      <c r="L54" s="8" t="n">
        <v>3</v>
      </c>
      <c r="M54" s="9" t="inlineStr"/>
      <c r="N54" s="8" t="n">
        <v>58</v>
      </c>
      <c r="O54" s="9" t="inlineStr">
        <is>
          <t>Irréversible</t>
        </is>
      </c>
      <c r="P54" s="8" t="inlineStr">
        <is>
          <t>Élevée</t>
        </is>
      </c>
      <c r="Q54" s="8" t="inlineStr">
        <is>
          <t>T44</t>
        </is>
      </c>
      <c r="R54" s="8" t="inlineStr">
        <is>
          <t>oui</t>
        </is>
      </c>
      <c r="S54" s="9" t="inlineStr">
        <is>
          <t>Le coup de Kigali (avec A11)</t>
        </is>
      </c>
      <c r="T54" s="8" t="n">
        <v>5</v>
      </c>
      <c r="U54" s="9" t="inlineStr">
        <is>
          <t>Contrainte +11 partout au tour suivant. Irréversible.</t>
        </is>
      </c>
      <c r="V54" s="9" t="inlineStr">
        <is>
          <t>Le format qui a le mieux fonctionné à ce jour : cible étroite, substitut disponible, calendrier daté, sanctions commerciales.</t>
        </is>
      </c>
      <c r="W54" s="9" t="inlineStr">
        <is>
          <t>Amendement de Kigali au Protocole de Montréal (2016) sur les HFC : jusqu'à 0,4 °C évités à lui seul.</t>
        </is>
      </c>
      <c r="X54" s="9" t="inlineStr">
        <is>
          <t>Ne fonctionne que sur des gaz ou secteurs à substitut existant. Inapplicable au CO₂ énergétique.</t>
        </is>
      </c>
      <c r="Y54" s="9" t="inlineStr">
        <is>
          <t>Noyau · International — le format le plus efficace jamais signé (Kigali 2016)</t>
        </is>
      </c>
    </row>
    <row r="55">
      <c r="A55" s="6" t="inlineStr">
        <is>
          <t>A70</t>
        </is>
      </c>
      <c r="B55" s="6" t="inlineStr">
        <is>
          <t>Actif</t>
        </is>
      </c>
      <c r="C55" s="6" t="inlineStr">
        <is>
          <t>Judiciaire</t>
        </is>
      </c>
      <c r="D55" s="7" t="inlineStr">
        <is>
          <t>Contentieux en responsabilité fondé sur l'attribution</t>
        </is>
      </c>
      <c r="E55" s="7" t="inlineStr">
        <is>
          <t>faire payer les dégâts</t>
        </is>
      </c>
      <c r="F55" s="6" t="inlineStr">
        <is>
          <t>Bloc</t>
        </is>
      </c>
      <c r="G55" s="6" t="n">
        <v>3</v>
      </c>
      <c r="H55" s="6" t="n">
        <v>2</v>
      </c>
      <c r="I55" s="6" t="inlineStr"/>
      <c r="J55" s="6" t="n">
        <v>2</v>
      </c>
      <c r="K55" s="6" t="inlineStr"/>
      <c r="L55" s="6" t="n">
        <v>3</v>
      </c>
      <c r="M55" s="7" t="inlineStr">
        <is>
          <t>une attribution rapide ou un contentieux national déjà engagé</t>
        </is>
      </c>
      <c r="N55" s="6" t="n">
        <v>48</v>
      </c>
      <c r="O55" s="7" t="inlineStr">
        <is>
          <t>Irréversible</t>
        </is>
      </c>
      <c r="P55" s="6" t="inlineStr">
        <is>
          <t>Moyenne</t>
        </is>
      </c>
      <c r="Q55" s="6" t="inlineStr">
        <is>
          <t>T28</t>
        </is>
      </c>
      <c r="R55" s="6" t="inlineStr"/>
      <c r="S55" s="7" t="inlineStr"/>
      <c r="T55" s="6" t="n">
        <v>3</v>
      </c>
      <c r="U55" s="7" t="inlineStr">
        <is>
          <t>Contrainte +16 dans deux tours sur le bloc, et crédibilité adverse −10. Une chance sur deux d'aboutir.</t>
        </is>
      </c>
      <c r="V55" s="7" t="inlineStr">
        <is>
          <t>La science d'attribution permet de rattacher un événement précis à une part d'émissions précise. La responsabilité cesse d'être diffuse et devient chiffrable devant un juge civil.</t>
        </is>
      </c>
      <c r="W55" s="7" t="inlineStr">
        <is>
          <t>Lliuya c. RWE, procédure allemande ouverte en 2015 sur la fonte d'un glacier péruvien ; essor des études d'attribution rapide depuis 2015.</t>
        </is>
      </c>
      <c r="X55" s="7" t="inlineStr">
        <is>
          <t>Levier émergent : les décisions favorables sont rares, souvent infirmées en appel, et la causalité individuelle reste le point d'attaque le plus solide de la défense.</t>
        </is>
      </c>
      <c r="Y55" s="7" t="inlineStr">
        <is>
          <t>Extension · niveau Expert. Couple très bien avec A49 (attribution) — réintégrer si le noyau juridique se révèle mince</t>
        </is>
      </c>
    </row>
    <row r="56">
      <c r="A56" s="6" t="inlineStr">
        <is>
          <t>A71</t>
        </is>
      </c>
      <c r="B56" s="6" t="inlineStr">
        <is>
          <t>Actif</t>
        </is>
      </c>
      <c r="C56" s="6" t="inlineStr">
        <is>
          <t>International</t>
        </is>
      </c>
      <c r="D56" s="7" t="inlineStr">
        <is>
          <t>Dénonciation du traité sur la Charte de l'énergie</t>
        </is>
      </c>
      <c r="E56" s="7" t="inlineStr">
        <is>
          <t>claquer la porte</t>
        </is>
      </c>
      <c r="F56" s="6" t="inlineStr">
        <is>
          <t>Mondial</t>
        </is>
      </c>
      <c r="G56" s="6" t="n">
        <v>4</v>
      </c>
      <c r="H56" s="6" t="inlineStr"/>
      <c r="I56" s="6" t="inlineStr"/>
      <c r="J56" s="6" t="n">
        <v>1</v>
      </c>
      <c r="K56" s="6" t="inlineStr"/>
      <c r="L56" s="6" t="n">
        <v>3</v>
      </c>
      <c r="M56" s="7" t="inlineStr">
        <is>
          <t>un arbitrage déjà subi, ou un avis consultatif déjà obtenu</t>
        </is>
      </c>
      <c r="N56" s="6" t="n">
        <v>58</v>
      </c>
      <c r="O56" s="7" t="inlineStr">
        <is>
          <t>Irréversible</t>
        </is>
      </c>
      <c r="P56" s="6" t="inlineStr">
        <is>
          <t>Élevée</t>
        </is>
      </c>
      <c r="Q56" s="6" t="inlineStr"/>
      <c r="R56" s="6" t="inlineStr"/>
      <c r="S56" s="7" t="inlineStr">
        <is>
          <t>La sortie par le droit (avec A36)</t>
        </is>
      </c>
      <c r="T56" s="8" t="inlineStr"/>
      <c r="U56" s="7" t="inlineStr">
        <is>
          <t>Neutralise définitivement l'arbitrage investisseur-État : la protection des investissements devient injouable pour le reste de la partie.</t>
        </is>
      </c>
      <c r="V56" s="7" t="inlineStr">
        <is>
          <t>Tant que le traité s'applique, toute sortie du fossile expose l'État à une réclamation devant un tribunal privé. Le dénoncer ne supprime pas les contentieux en cours, il ferme la porte aux suivants.</t>
        </is>
      </c>
      <c r="W56" s="7" t="inlineStr">
        <is>
          <t>Retraits du traité sur la Charte de l'énergie annoncés par la France, l'Allemagne et l'Espagne en 2022-2023, puis retrait coordonné de l'Union européenne acté en 2024.</t>
        </is>
      </c>
      <c r="X56" s="7" t="inlineStr">
        <is>
          <t>La clause de survie protège les investissements existants pendant vingt ans : ce que le traité couvrait déjà reste couvert.</t>
        </is>
      </c>
      <c r="Y56" s="7" t="inlineStr"/>
    </row>
    <row r="57">
      <c r="A57" s="6" t="inlineStr">
        <is>
          <t>A72</t>
        </is>
      </c>
      <c r="B57" s="6" t="inlineStr">
        <is>
          <t>Actif</t>
        </is>
      </c>
      <c r="C57" s="6" t="inlineStr">
        <is>
          <t>Réglementaire</t>
        </is>
      </c>
      <c r="D57" s="7" t="inlineStr">
        <is>
          <t>Fin des nouvelles licences d'exploration</t>
        </is>
      </c>
      <c r="E57" s="7" t="inlineStr">
        <is>
          <t>fermer le robinet</t>
        </is>
      </c>
      <c r="F57" s="6" t="inlineStr">
        <is>
          <t>Bloc</t>
        </is>
      </c>
      <c r="G57" s="6" t="n">
        <v>3</v>
      </c>
      <c r="H57" s="6" t="inlineStr"/>
      <c r="I57" s="6" t="inlineStr"/>
      <c r="J57" s="6" t="inlineStr"/>
      <c r="K57" s="6" t="n">
        <v>45</v>
      </c>
      <c r="L57" s="6" t="n">
        <v>2</v>
      </c>
      <c r="M57" s="7" t="inlineStr">
        <is>
          <t>un plafond déjà abaissé par l'adversaire — sinon il n'y a rien à rouvrir</t>
        </is>
      </c>
      <c r="N57" s="6" t="n">
        <v>100</v>
      </c>
      <c r="O57" s="7" t="inlineStr">
        <is>
          <t>Difficile à annuler</t>
        </is>
      </c>
      <c r="P57" s="6" t="inlineStr">
        <is>
          <t>Élevée</t>
        </is>
      </c>
      <c r="Q57" s="6" t="inlineStr">
        <is>
          <t>T40</t>
        </is>
      </c>
      <c r="R57" s="6" t="inlineStr"/>
      <c r="S57" s="7" t="inlineStr"/>
      <c r="T57" s="8" t="inlineStr"/>
      <c r="U57" s="7" t="inlineStr">
        <is>
          <t>Plafond de contrainte +12 sur le bloc, sans dépasser 100, et contrainte +4. Défait le verrouillage par l'infrastructure.</t>
        </is>
      </c>
      <c r="V57" s="7" t="inlineStr">
        <is>
          <t>On n'agit pas sur ce qui est déjà en production mais sur ce qui ne l'est pas encore. Chaque licence non délivrée est un actif de trente ans qui n'existera pas.</t>
        </is>
      </c>
      <c r="W57" s="7" t="inlineStr">
        <is>
          <t>Danemark : arrêt des nouvelles licences en mer du Nord voté en décembre 2020 avec échéance 2050 ; engagements comparables au sein de la Beyond Oil and Gas Alliance.</t>
        </is>
      </c>
      <c r="X57" s="7" t="inlineStr">
        <is>
          <t>Aucun effet sur les émissions du tour : le levier agit sur ce qui aurait été extrait dans vingt ans. C'est un plafond qu'on relève, pas une contrainte qu'on ajoute.</t>
        </is>
      </c>
      <c r="Y57" s="7" t="inlineStr"/>
    </row>
    <row r="58">
      <c r="A58" s="6" t="inlineStr">
        <is>
          <t>A73</t>
        </is>
      </c>
      <c r="B58" s="6" t="inlineStr">
        <is>
          <t>Actif</t>
        </is>
      </c>
      <c r="C58" s="6" t="inlineStr">
        <is>
          <t>Économique</t>
        </is>
      </c>
      <c r="D58" s="7" t="inlineStr">
        <is>
          <t>Fin du financement public à l'export des fossiles</t>
        </is>
      </c>
      <c r="E58" s="7" t="inlineStr">
        <is>
          <t>couper le crédit</t>
        </is>
      </c>
      <c r="F58" s="6" t="inlineStr">
        <is>
          <t>Mondial</t>
        </is>
      </c>
      <c r="G58" s="6" t="n">
        <v>4</v>
      </c>
      <c r="H58" s="6" t="inlineStr"/>
      <c r="I58" s="6" t="inlineStr"/>
      <c r="J58" s="6" t="inlineStr"/>
      <c r="K58" s="6" t="inlineStr"/>
      <c r="L58" s="6" t="n">
        <v>2</v>
      </c>
      <c r="M58" s="7" t="inlineStr"/>
      <c r="N58" s="6" t="n">
        <v>72</v>
      </c>
      <c r="O58" s="7" t="inlineStr">
        <is>
          <t>Difficile à annuler</t>
        </is>
      </c>
      <c r="P58" s="6" t="inlineStr">
        <is>
          <t>Élevée</t>
        </is>
      </c>
      <c r="Q58" s="6" t="inlineStr">
        <is>
          <t>T46</t>
        </is>
      </c>
      <c r="R58" s="6" t="inlineStr"/>
      <c r="S58" s="7" t="inlineStr"/>
      <c r="T58" s="6" t="n">
        <v>3</v>
      </c>
      <c r="U58" s="7" t="inlineStr">
        <is>
          <t>Contrainte +8 sur les cinq blocs à rente fossile élevée. Réduite de moitié si les actifs sales ont déjà été cédés — le projet a simplement changé de porteur.</t>
        </is>
      </c>
      <c r="V58" s="7" t="inlineStr">
        <is>
          <t>Les agences de crédit à l'export garantissent ce que le marché ne garantirait pas. Retirer la garantie ne rend pas le projet illégal, elle le rend impayable — tant qu'aucun autre État ne la reprend.</t>
        </is>
      </c>
      <c r="W58" s="7" t="inlineStr">
        <is>
          <t>Déclaration de Glasgow sur le soutien public à l'énergie propre, COP26 décembre 2021 : environ 39 signataires s'engagent à cesser le financement à l'export des fossiles non abattus.</t>
        </is>
      </c>
      <c r="X58" s="7" t="inlineStr">
        <is>
          <t>Un financeur non signataire reprend le dossier. C'est le seul levier du jeu dont l'efficacité dépend entièrement du nombre de blocs qui l'ont déjà joué.</t>
        </is>
      </c>
      <c r="Y58" s="7" t="inlineStr">
        <is>
          <t>Extension · contré par T46 (cession d'actifs) — tester si la paire fonctionne</t>
        </is>
      </c>
    </row>
    <row r="59">
      <c r="A59" s="10" t="inlineStr">
        <is>
          <t>T01</t>
        </is>
      </c>
      <c r="B59" s="10" t="inlineStr">
        <is>
          <t>Attentiste</t>
        </is>
      </c>
      <c r="C59" s="10" t="inlineStr">
        <is>
          <t>Discours</t>
        </is>
      </c>
      <c r="D59" s="11" t="inlineStr">
        <is>
          <t>Responsabilité individuelle</t>
        </is>
      </c>
      <c r="E59" s="11" t="inlineStr">
        <is>
          <t>individualisation du problème</t>
        </is>
      </c>
      <c r="F59" s="10" t="inlineStr">
        <is>
          <t>Bloc</t>
        </is>
      </c>
      <c r="G59" s="10" t="inlineStr"/>
      <c r="H59" s="10" t="inlineStr"/>
      <c r="I59" s="10" t="n">
        <v>2</v>
      </c>
      <c r="J59" s="10" t="inlineStr"/>
      <c r="K59" s="10" t="inlineStr"/>
      <c r="L59" s="10" t="n">
        <v>1</v>
      </c>
      <c r="M59" s="11" t="inlineStr"/>
      <c r="N59" s="10" t="n">
        <v>100</v>
      </c>
      <c r="O59" s="11" t="inlineStr">
        <is>
          <t>Facile à annuler</t>
        </is>
      </c>
      <c r="P59" s="10" t="inlineStr">
        <is>
          <t>Élevée</t>
        </is>
      </c>
      <c r="Q59" s="10" t="inlineStr">
        <is>
          <t>A50</t>
        </is>
      </c>
      <c r="R59" s="10" t="inlineStr"/>
      <c r="S59" s="11" t="inlineStr">
        <is>
          <t>Chacun sa part (avec T31)</t>
        </is>
      </c>
      <c r="T59" s="10" t="n">
        <v>4</v>
      </c>
      <c r="U59" s="11" t="inlineStr">
        <is>
          <t>Perçu −9. Déplace la cible de la production vers le consommateur.</t>
        </is>
      </c>
      <c r="V59" s="11" t="inlineStr">
        <is>
          <t>Chacun décide de ses trajets, de son chauffage, de son assiette. Rendre ces choix visibles est plus rapide, moins coûteux et moins clivant qu'une contrainte imposée d'en haut.</t>
        </is>
      </c>
      <c r="W59" s="11" t="inlineStr">
        <is>
          <t>Calculateur d'empreinte carbone individuelle lancé par BP en 2004, aujourd'hui universel.</t>
        </is>
      </c>
      <c r="X59" s="11" t="inlineStr">
        <is>
          <t>L'empreinte carbone individuelle a été popularisée par une campagne de BP en 2004. Les gestes individuels sans changement d'infrastructure plafonnent autour d'un quart de l'empreinte d'un ménage : l'essentiel dépend de choix collectifs. L'argument se retourne quand le soutien réel de la population est publié.</t>
        </is>
      </c>
      <c r="Y59" s="11" t="inlineStr">
        <is>
          <t>Noyau · Discours — déplace la cible de la production vers le consommateur (BP, 2004)</t>
        </is>
      </c>
    </row>
    <row r="60">
      <c r="A60" s="10" t="inlineStr">
        <is>
          <t>T02</t>
        </is>
      </c>
      <c r="B60" s="10" t="inlineStr">
        <is>
          <t>Attentiste</t>
        </is>
      </c>
      <c r="C60" s="10" t="inlineStr">
        <is>
          <t>Discours</t>
        </is>
      </c>
      <c r="D60" s="11" t="inlineStr">
        <is>
          <t>Conditionner l'effort aux autres</t>
        </is>
      </c>
      <c r="E60" s="11" t="inlineStr">
        <is>
          <t>whataboutisme</t>
        </is>
      </c>
      <c r="F60" s="10" t="inlineStr">
        <is>
          <t>Bloc</t>
        </is>
      </c>
      <c r="G60" s="10" t="inlineStr"/>
      <c r="H60" s="10" t="inlineStr"/>
      <c r="I60" s="10" t="n">
        <v>1</v>
      </c>
      <c r="J60" s="10" t="inlineStr"/>
      <c r="K60" s="10" t="inlineStr"/>
      <c r="L60" s="10" t="n">
        <v>1</v>
      </c>
      <c r="M60" s="11" t="inlineStr"/>
      <c r="N60" s="10" t="n">
        <v>100</v>
      </c>
      <c r="O60" s="11" t="inlineStr">
        <is>
          <t>Facile à annuler</t>
        </is>
      </c>
      <c r="P60" s="10" t="inlineStr">
        <is>
          <t>Élevée</t>
        </is>
      </c>
      <c r="Q60" s="10" t="inlineStr">
        <is>
          <t>A03</t>
        </is>
      </c>
      <c r="R60" s="10" t="inlineStr"/>
      <c r="S60" s="11" t="inlineStr"/>
      <c r="T60" s="10" t="n">
        <v>4</v>
      </c>
      <c r="U60" s="11" t="inlineStr">
        <is>
          <t>Perçu −13 si le bloc pèse moins de 10 % des émissions mondiales, −5 sinon.</t>
        </is>
      </c>
      <c r="V60" s="11" t="inlineStr">
        <is>
          <t>Un bloc qui pèse 2 % des émissions mondiales ne change pas la trajectoire à lui seul. Demander que les gros émetteurs bougent d'abord est une exigence de réciprocité, pas un refus d'agir.</t>
        </is>
      </c>
      <c r="W60" s="11" t="inlineStr">
        <is>
          <t>Argument central des débats parlementaires français et européens sur toute mesure contraignante.</t>
        </is>
      </c>
      <c r="X60" s="11" t="inlineStr">
        <is>
          <t>L'argument est symétrique : si chacun attend l'autre, personne ne bouge. Il perd sa force face à un ajustement carbone aux frontières, qui rend l'effort conditionnel visible, et face au financement Nord-Sud, qui lève l'objection de capacité.</t>
        </is>
      </c>
      <c r="Y60" s="11" t="inlineStr">
        <is>
          <t>Noyau · Discours — annule une mesure dans un bloc à faibles émissions relatives</t>
        </is>
      </c>
    </row>
    <row r="61">
      <c r="A61" s="10" t="inlineStr">
        <is>
          <t>T04</t>
        </is>
      </c>
      <c r="B61" s="10" t="inlineStr">
        <is>
          <t>Attentiste</t>
        </is>
      </c>
      <c r="C61" s="10" t="inlineStr">
        <is>
          <t>Discours</t>
        </is>
      </c>
      <c r="D61" s="11" t="inlineStr">
        <is>
          <t>Confiance dans l'innovation</t>
        </is>
      </c>
      <c r="E61" s="11" t="inlineStr">
        <is>
          <t>optimisme technologique de report</t>
        </is>
      </c>
      <c r="F61" s="10" t="inlineStr">
        <is>
          <t>Mondial</t>
        </is>
      </c>
      <c r="G61" s="10" t="inlineStr"/>
      <c r="H61" s="10" t="inlineStr"/>
      <c r="I61" s="10" t="n">
        <v>2</v>
      </c>
      <c r="J61" s="10" t="inlineStr"/>
      <c r="K61" s="10" t="inlineStr"/>
      <c r="L61" s="10" t="n">
        <v>1</v>
      </c>
      <c r="M61" s="11" t="inlineStr"/>
      <c r="N61" s="10" t="n">
        <v>100</v>
      </c>
      <c r="O61" s="11" t="inlineStr">
        <is>
          <t>Facile à annuler</t>
        </is>
      </c>
      <c r="P61" s="10" t="inlineStr">
        <is>
          <t>Élevée</t>
        </is>
      </c>
      <c r="Q61" s="10" t="inlineStr">
        <is>
          <t>A39</t>
        </is>
      </c>
      <c r="R61" s="10" t="inlineStr"/>
      <c r="S61" s="11" t="inlineStr">
        <is>
          <t>La promesse sans date (avec T07)</t>
        </is>
      </c>
      <c r="T61" s="10" t="n">
        <v>4</v>
      </c>
      <c r="U61" s="11" t="inlineStr">
        <is>
          <t>Perçu −5 partout, et les effets différés du camp actif sont retardés d'un tour.</t>
        </is>
      </c>
      <c r="V61" s="11" t="inlineStr">
        <is>
          <t>Le coût du solaire a baissé de 90 % en dix ans sans qu'on l'ait décrété. Engager aujourd'hui des sommes considérables dans des technologies qui seront obsolètes dans quinze ans est un mauvais calcul.</t>
        </is>
      </c>
      <c r="W61" s="11" t="inlineStr">
        <is>
          <t>Promesses successives sur la fusion, le captage direct dans l'air, l'hydrogène généralisé.</t>
        </is>
      </c>
      <c r="X61" s="11" t="inlineStr">
        <is>
          <t>L'argument vaut pour les technologies qui existent déjà et se déploient. Il devient un report quand il s'appuie sur des technologies non démontrées à l'échelle : fusion, captage direct dans l'air, hydrogène généralisé. Le budget carbone, lui, se dépense chaque année pendant l'attente.</t>
        </is>
      </c>
      <c r="Y61" s="11" t="inlineStr">
        <is>
          <t>Noyau · Discours — reporte la décision de N tours contre une promesse future</t>
        </is>
      </c>
    </row>
    <row r="62">
      <c r="A62" s="10" t="inlineStr">
        <is>
          <t>T05</t>
        </is>
      </c>
      <c r="B62" s="10" t="inlineStr">
        <is>
          <t>Attentiste</t>
        </is>
      </c>
      <c r="C62" s="10" t="inlineStr">
        <is>
          <t>Économique</t>
        </is>
      </c>
      <c r="D62" s="11" t="inlineStr">
        <is>
          <t>Le gaz comme énergie de transition</t>
        </is>
      </c>
      <c r="E62" s="11" t="inlineStr">
        <is>
          <t>verrouillage gazier</t>
        </is>
      </c>
      <c r="F62" s="10" t="inlineStr">
        <is>
          <t>Bloc</t>
        </is>
      </c>
      <c r="G62" s="10" t="inlineStr"/>
      <c r="H62" s="10" t="n">
        <v>3</v>
      </c>
      <c r="I62" s="10" t="inlineStr"/>
      <c r="J62" s="10" t="inlineStr"/>
      <c r="K62" s="10" t="inlineStr"/>
      <c r="L62" s="10" t="n">
        <v>1</v>
      </c>
      <c r="M62" s="11" t="inlineStr"/>
      <c r="N62" s="10" t="n">
        <v>100</v>
      </c>
      <c r="O62" s="11" t="inlineStr">
        <is>
          <t>Difficile à annuler</t>
        </is>
      </c>
      <c r="P62" s="10" t="inlineStr">
        <is>
          <t>Élevée</t>
        </is>
      </c>
      <c r="Q62" s="10" t="inlineStr">
        <is>
          <t>A21</t>
        </is>
      </c>
      <c r="R62" s="10" t="inlineStr"/>
      <c r="S62" s="11" t="inlineStr"/>
      <c r="T62" s="10" t="n">
        <v>5</v>
      </c>
      <c r="U62" s="11" t="inlineStr">
        <is>
          <t>Contrainte −9 et plafond −6 : du fossile financé sur budget climat.</t>
        </is>
      </c>
      <c r="V62" s="11" t="inlineStr">
        <is>
          <t>Le gaz émet à la combustion moitié moins que le charbon et fournit l'équilibrage dont un réseau très renouvelable a besoin. Substituer le gaz au charbon est un gain immédiat.</t>
        </is>
      </c>
      <c r="W62" s="11" t="inlineStr">
        <is>
          <t>Classement du gaz dans la taxonomie verte européenne, 2022. Fuites de méthane amont qui annulent une large part du gain affiché.</t>
        </is>
      </c>
      <c r="X62" s="11" t="inlineStr">
        <is>
          <t>Le gain à la combustion est réel ; les fuites de méthane en amont en annulent une part importante, et l'infrastructure construite engage quarante ans. Le classement du gaz dans la taxonomie verte européenne date de 2022. Le renforcement du réseau et du stockage supprime l'argument de l'équilibrage.</t>
        </is>
      </c>
      <c r="Y62" s="11" t="inlineStr">
        <is>
          <t>Noyau · Discours — fait financer du fossile sur budget climat (puissance 5)</t>
        </is>
      </c>
    </row>
    <row r="63">
      <c r="A63" s="10" t="inlineStr">
        <is>
          <t>T07</t>
        </is>
      </c>
      <c r="B63" s="10" t="inlineStr">
        <is>
          <t>Attentiste</t>
        </is>
      </c>
      <c r="C63" s="10" t="inlineStr">
        <is>
          <t>Discours</t>
        </is>
      </c>
      <c r="D63" s="11" t="inlineStr">
        <is>
          <t>Engagement de long terme</t>
        </is>
      </c>
      <c r="E63" s="11" t="inlineStr">
        <is>
          <t>objectif net zéro sans trajectoire</t>
        </is>
      </c>
      <c r="F63" s="10" t="inlineStr">
        <is>
          <t>Mondial</t>
        </is>
      </c>
      <c r="G63" s="10" t="inlineStr"/>
      <c r="H63" s="10" t="inlineStr"/>
      <c r="I63" s="10" t="n">
        <v>2</v>
      </c>
      <c r="J63" s="10" t="inlineStr"/>
      <c r="K63" s="10" t="inlineStr"/>
      <c r="L63" s="10" t="n">
        <v>1</v>
      </c>
      <c r="M63" s="11" t="inlineStr"/>
      <c r="N63" s="10" t="n">
        <v>100</v>
      </c>
      <c r="O63" s="11" t="inlineStr">
        <is>
          <t>Facile à annuler</t>
        </is>
      </c>
      <c r="P63" s="10" t="inlineStr">
        <is>
          <t>Élevée</t>
        </is>
      </c>
      <c r="Q63" s="10" t="inlineStr">
        <is>
          <t>A63</t>
        </is>
      </c>
      <c r="R63" s="10" t="inlineStr"/>
      <c r="S63" s="11" t="inlineStr">
        <is>
          <t>La promesse sans date (avec T04)</t>
        </is>
      </c>
      <c r="T63" s="10" t="n">
        <v>5</v>
      </c>
      <c r="U63" s="11" t="inlineStr">
        <is>
          <t>Perçu +6 partout pour le camp attentiste, sans aucune réduction. Sans effet si une institution de suivi existe.</t>
        </is>
      </c>
      <c r="V63" s="11" t="inlineStr">
        <is>
          <t>Un objectif à trente ans donne aux entreprises la visibilité nécessaire pour investir, sans imposer de rupture brutale à une économie qui a besoin de temps pour s'adapter.</t>
        </is>
      </c>
      <c r="W63" s="11" t="inlineStr">
        <is>
          <t>Prolifération des engagements net zéro 2050 sans trajectoire 2030 opposable.</t>
        </is>
      </c>
      <c r="X63" s="11" t="inlineStr">
        <is>
          <t>Les engagements net zéro 2050 se sont généralisés sans que les trajectoires 2030 suivent. Un objectif sans étape intermédiaire n'engage aucun décideur en exercice. Une institution indépendante de suivi transforme l'annonce en dette publiquement mesurée chaque année.</t>
        </is>
      </c>
      <c r="Y63" s="11" t="inlineStr">
        <is>
          <t>Noyau · Discours — marque des points d'opinion sans réduire une tonne (puissance 5)</t>
        </is>
      </c>
    </row>
    <row r="64">
      <c r="A64" s="10" t="inlineStr">
        <is>
          <t>T08</t>
        </is>
      </c>
      <c r="B64" s="10" t="inlineStr">
        <is>
          <t>Attentiste</t>
        </is>
      </c>
      <c r="C64" s="10" t="inlineStr">
        <is>
          <t>Discours</t>
        </is>
      </c>
      <c r="D64" s="11" t="inlineStr">
        <is>
          <t>Défense des ménages modestes</t>
        </is>
      </c>
      <c r="E64" s="11" t="inlineStr">
        <is>
          <t>instrumentalisation sociale</t>
        </is>
      </c>
      <c r="F64" s="10" t="inlineStr">
        <is>
          <t>Bloc</t>
        </is>
      </c>
      <c r="G64" s="10" t="inlineStr"/>
      <c r="H64" s="10" t="inlineStr"/>
      <c r="I64" s="10" t="n">
        <v>2</v>
      </c>
      <c r="J64" s="10" t="inlineStr"/>
      <c r="K64" s="10" t="inlineStr"/>
      <c r="L64" s="10" t="n">
        <v>1</v>
      </c>
      <c r="M64" s="11" t="inlineStr"/>
      <c r="N64" s="10" t="n">
        <v>100</v>
      </c>
      <c r="O64" s="11" t="inlineStr">
        <is>
          <t>Facile à annuler</t>
        </is>
      </c>
      <c r="P64" s="10" t="inlineStr">
        <is>
          <t>Élevée</t>
        </is>
      </c>
      <c r="Q64" s="10" t="inlineStr">
        <is>
          <t>A31</t>
        </is>
      </c>
      <c r="R64" s="10" t="inlineStr"/>
      <c r="S64" s="11" t="inlineStr"/>
      <c r="T64" s="10" t="n">
        <v>5</v>
      </c>
      <c r="U64" s="11" t="inlineStr">
        <is>
          <t>Friction +19. Effet réduit des deux tiers si la redistribution a été installée.</t>
        </is>
      </c>
      <c r="V64" s="11" t="inlineStr">
        <is>
          <t>Une taxe sur l'énergie frappe proportionnellement plus fort les bas revenus, les ruraux et ceux qui n'ont pas le choix de leur mode de chauffage ou de transport. L'objection est fondée.</t>
        </is>
      </c>
      <c r="W64" s="11" t="inlineStr">
        <is>
          <t>Argumentaire déployé contre les zones à faibles émissions et contre toute tarification non redistribuée.</t>
        </is>
      </c>
      <c r="X64" s="11" t="inlineStr">
        <is>
          <t>Elle est fondée tant que rien n'est rendu. Le dividende carbone canadien rend davantage aux ménages modestes qu'il ne leur coûte, et n'a jamais été renversé. Face à une redistribution visible, l'argument perd les deux tiers de sa force.</t>
        </is>
      </c>
      <c r="Y64" s="11" t="inlineStr">
        <is>
          <t>Noyau · Discours — retourne l'argument social. Dévastateur si A31 n'a pas été joué</t>
        </is>
      </c>
    </row>
    <row r="65">
      <c r="A65" s="10" t="inlineStr">
        <is>
          <t>T09</t>
        </is>
      </c>
      <c r="B65" s="10" t="inlineStr">
        <is>
          <t>Attentiste</t>
        </is>
      </c>
      <c r="C65" s="10" t="inlineStr">
        <is>
          <t>Discours</t>
        </is>
      </c>
      <c r="D65" s="11" t="inlineStr">
        <is>
          <t>Défense du mode de vie</t>
        </is>
      </c>
      <c r="E65" s="11" t="inlineStr">
        <is>
          <t>défense identitaire du statu quo</t>
        </is>
      </c>
      <c r="F65" s="10" t="inlineStr">
        <is>
          <t>Bloc</t>
        </is>
      </c>
      <c r="G65" s="10" t="inlineStr"/>
      <c r="H65" s="10" t="inlineStr"/>
      <c r="I65" s="10" t="n">
        <v>2</v>
      </c>
      <c r="J65" s="10" t="inlineStr"/>
      <c r="K65" s="10" t="inlineStr"/>
      <c r="L65" s="10" t="n">
        <v>1</v>
      </c>
      <c r="M65" s="11" t="inlineStr"/>
      <c r="N65" s="10" t="n">
        <v>100</v>
      </c>
      <c r="O65" s="11" t="inlineStr">
        <is>
          <t>Difficile à annuler</t>
        </is>
      </c>
      <c r="P65" s="10" t="inlineStr">
        <is>
          <t>Élevée</t>
        </is>
      </c>
      <c r="Q65" s="10" t="inlineStr">
        <is>
          <t>A57</t>
        </is>
      </c>
      <c r="R65" s="10" t="inlineStr"/>
      <c r="S65" s="11" t="inlineStr"/>
      <c r="T65" s="10" t="n">
        <v>4</v>
      </c>
      <c r="U65" s="11" t="inlineStr">
        <is>
          <t>Soutien réel −4 et friction +12. Attaque le réel, pas seulement le perçu.</t>
        </is>
      </c>
      <c r="V65" s="11" t="inlineStr">
        <is>
          <t>La voiture, la viande, le départ en vacances ne sont pas des caprices : ce sont les marqueurs d'une vie normale que des générations ont mis un siècle à conquérir. Les remettre en cause a un coût politique réel.</t>
        </is>
      </c>
      <c r="W65" s="11" t="inlineStr">
        <is>
          <t>Polémiques récurrentes sur la viande, l'avion et la voiture individuelle depuis 2019.</t>
        </is>
      </c>
      <c r="X65" s="11" t="inlineStr">
        <is>
          <t>L'argument attaque le soutien de fond, pas seulement la perception — c'est ce qui le rend redoutable. Il s'affaiblit face à un récit de gain plutôt que de privation, à condition que ce récit précède l'attaque et que les mesures effectivement prises ne le démentent pas.</t>
        </is>
      </c>
      <c r="Y65" s="11" t="inlineStr">
        <is>
          <t>Noyau · Discours — attaque le soutien RÉEL et non le perçu : mécaniquement distinct des autres discours</t>
        </is>
      </c>
    </row>
    <row r="66">
      <c r="A66" s="10" t="inlineStr">
        <is>
          <t>T10</t>
        </is>
      </c>
      <c r="B66" s="10" t="inlineStr">
        <is>
          <t>Attentiste</t>
        </is>
      </c>
      <c r="C66" s="10" t="inlineStr">
        <is>
          <t>Discours</t>
        </is>
      </c>
      <c r="D66" s="11" t="inlineStr">
        <is>
          <t>Whataboutisme des inconvénients</t>
        </is>
      </c>
      <c r="E66" s="11" t="inlineStr">
        <is>
          <t>et le cobalt ?</t>
        </is>
      </c>
      <c r="F66" s="10" t="inlineStr">
        <is>
          <t>Bloc</t>
        </is>
      </c>
      <c r="G66" s="10" t="inlineStr"/>
      <c r="H66" s="10" t="n">
        <v>2</v>
      </c>
      <c r="I66" s="10" t="inlineStr"/>
      <c r="J66" s="10" t="inlineStr"/>
      <c r="K66" s="10" t="inlineStr"/>
      <c r="L66" s="10" t="n">
        <v>1</v>
      </c>
      <c r="M66" s="11" t="inlineStr"/>
      <c r="N66" s="10" t="n">
        <v>100</v>
      </c>
      <c r="O66" s="11" t="inlineStr">
        <is>
          <t>Facile à annuler</t>
        </is>
      </c>
      <c r="P66" s="10" t="inlineStr">
        <is>
          <t>Élevée</t>
        </is>
      </c>
      <c r="Q66" s="10" t="inlineStr">
        <is>
          <t>A54</t>
        </is>
      </c>
      <c r="R66" s="10" t="inlineStr"/>
      <c r="S66" s="11" t="inlineStr"/>
      <c r="T66" s="10" t="n">
        <v>3</v>
      </c>
      <c r="U66" s="11" t="inlineStr">
        <is>
          <t>Indice technologique −5 et perçu −7 sur le bloc. Perçu −11 dès que l'indice dépasse 30 : plus la technologie est visible, plus elle offre de prise.</t>
        </is>
      </c>
      <c r="V66" s="11" t="inlineStr">
        <is>
          <t>Ne pas défendre le fossile, attaquer l'alternative. Mines de cobalt, terres rares, oiseaux, recyclage des pales : chaque objection est fondée prise isolément, et aucune n'est mise en regard de ce qu'elle remplace.</t>
        </is>
      </c>
      <c r="W66" s="11" t="inlineStr">
        <is>
          <t>Campagnes sur les conditions d'extraction du cobalt et sur l'impact des éoliennes, relayées à partir de 2015 par des organisations sans activité documentée sur les mêmes sujets ailleurs.</t>
        </is>
      </c>
      <c r="X66" s="11" t="inlineStr">
        <is>
          <t>L'argument ne tient que tant que la comparaison n'est pas faite. Un travail d'enquête qui met les deux bilans côte à côte le retourne entièrement.</t>
        </is>
      </c>
      <c r="Y66" s="11" t="inlineStr">
        <is>
          <t>Extension · bloque une technologie de substitution sans défendre le fossile : mécaniquement intéressant</t>
        </is>
      </c>
    </row>
    <row r="67">
      <c r="A67" s="10" t="inlineStr">
        <is>
          <t>T11</t>
        </is>
      </c>
      <c r="B67" s="10" t="inlineStr">
        <is>
          <t>Attentiste</t>
        </is>
      </c>
      <c r="C67" s="10" t="inlineStr">
        <is>
          <t>Discours</t>
        </is>
      </c>
      <c r="D67" s="11" t="inlineStr">
        <is>
          <t>Réalisme sur les délais</t>
        </is>
      </c>
      <c r="E67" s="11" t="inlineStr">
        <is>
          <t>fatalisme démobilisateur</t>
        </is>
      </c>
      <c r="F67" s="10" t="inlineStr">
        <is>
          <t>Bloc</t>
        </is>
      </c>
      <c r="G67" s="10" t="inlineStr"/>
      <c r="H67" s="10" t="inlineStr"/>
      <c r="I67" s="10" t="n">
        <v>2</v>
      </c>
      <c r="J67" s="10" t="inlineStr"/>
      <c r="K67" s="10" t="inlineStr"/>
      <c r="L67" s="10" t="n">
        <v>2</v>
      </c>
      <c r="M67" s="11" t="inlineStr"/>
      <c r="N67" s="10" t="n">
        <v>100</v>
      </c>
      <c r="O67" s="11" t="inlineStr">
        <is>
          <t>Facile à annuler</t>
        </is>
      </c>
      <c r="P67" s="10" t="inlineStr">
        <is>
          <t>Élevée</t>
        </is>
      </c>
      <c r="Q67" s="10" t="inlineStr">
        <is>
          <t>A51</t>
        </is>
      </c>
      <c r="R67" s="10" t="inlineStr"/>
      <c r="S67" s="11" t="inlineStr"/>
      <c r="T67" s="10" t="n">
        <v>4</v>
      </c>
      <c r="U67" s="11" t="inlineStr">
        <is>
          <t>Perçu −10, et −16 dès que le réchauffement dépasse 1,6 °C.</t>
        </is>
      </c>
      <c r="V67" s="11" t="inlineStr">
        <is>
          <t>Regarder les chiffres en face : le budget 1,5 °C est presque épuisé, les émissions mondiales n'ont pas encore baissé. Promettre l'inverse entretient une illusion qui se paiera en désillusion.</t>
        </is>
      </c>
      <c r="W67" s="11" t="inlineStr">
        <is>
          <t>Montée documentée de l'éco-anxiété résignée chez les moins de 25 ans depuis 2020.</t>
        </is>
      </c>
      <c r="X67" s="11" t="inlineStr">
        <is>
          <t>Le constat est exact, la conclusion ne l'est pas : chaque dixième de degré évité compte, et la trajectoire mondiale est passée de 3,6 °C à 2,6 °C entre 2015 et 2025. Le levier se renforce mécaniquement quand la partie se dégrade — c'est pourquoi montrer ce qui a marché est le seul contre efficace.</t>
        </is>
      </c>
      <c r="Y67" s="11" t="inlineStr">
        <is>
          <t>Signature · Discours — puissance croissante avec la température. Le seul levier qui se renforce quand la partie se dégrade</t>
        </is>
      </c>
    </row>
    <row r="68">
      <c r="A68" s="10" t="inlineStr">
        <is>
          <t>T13</t>
        </is>
      </c>
      <c r="B68" s="10" t="inlineStr">
        <is>
          <t>Attentiste</t>
        </is>
      </c>
      <c r="C68" s="10" t="inlineStr">
        <is>
          <t>Institutionnel</t>
        </is>
      </c>
      <c r="D68" s="11" t="inlineStr">
        <is>
          <t>Représentation d'intérêts</t>
        </is>
      </c>
      <c r="E68" s="11" t="inlineStr">
        <is>
          <t>lobbying d'obstruction</t>
        </is>
      </c>
      <c r="F68" s="10" t="inlineStr">
        <is>
          <t>Bloc</t>
        </is>
      </c>
      <c r="G68" s="10" t="inlineStr"/>
      <c r="H68" s="10" t="n">
        <v>3</v>
      </c>
      <c r="I68" s="10" t="inlineStr"/>
      <c r="J68" s="10" t="inlineStr"/>
      <c r="K68" s="10" t="inlineStr"/>
      <c r="L68" s="10" t="n">
        <v>1</v>
      </c>
      <c r="M68" s="11" t="inlineStr"/>
      <c r="N68" s="10" t="n">
        <v>100</v>
      </c>
      <c r="O68" s="11" t="inlineStr">
        <is>
          <t>Facile à annuler</t>
        </is>
      </c>
      <c r="P68" s="10" t="inlineStr">
        <is>
          <t>Élevée</t>
        </is>
      </c>
      <c r="Q68" s="10" t="inlineStr">
        <is>
          <t>A15</t>
        </is>
      </c>
      <c r="R68" s="10" t="inlineStr"/>
      <c r="S68" s="11" t="inlineStr"/>
      <c r="T68" s="10" t="n">
        <v>4</v>
      </c>
      <c r="U68" s="11" t="inlineStr">
        <is>
          <t>Friction +13 et contrainte −5.</t>
        </is>
      </c>
      <c r="V68" s="11" t="inlineStr">
        <is>
          <t>Les secteurs concernés connaissent leurs contraintes techniques mieux que le législateur. Intervenir dans l'écriture du texte, avant le vote, évite des normes inapplicables.</t>
        </is>
      </c>
      <c r="W68" s="11" t="inlineStr">
        <is>
          <t>InfluenceMap : plusieurs centaines de millions de dollars par an d'influence climatique obstructive documentée.</t>
        </is>
      </c>
      <c r="X68" s="11" t="inlineStr">
        <is>
          <t>InfluenceMap documente plusieurs centaines de millions de dollars par an d'influence climatique obstructive, avec un rapport coût/effet sans équivalent. Les registres de transparence et le reporting obligatoire en réduisent le rendement sans le supprimer.</t>
        </is>
      </c>
      <c r="Y68" s="11" t="inlineStr">
        <is>
          <t>Noyau · Institutionnel — la base du camp, disponible dès le niveau Découverte</t>
        </is>
      </c>
    </row>
    <row r="69">
      <c r="A69" s="10" t="inlineStr">
        <is>
          <t>T17</t>
        </is>
      </c>
      <c r="B69" s="10" t="inlineStr">
        <is>
          <t>Attentiste</t>
        </is>
      </c>
      <c r="C69" s="10" t="inlineStr">
        <is>
          <t>Institutionnel</t>
        </is>
      </c>
      <c r="D69" s="11" t="inlineStr">
        <is>
          <t>Allègement du contrôle</t>
        </is>
      </c>
      <c r="E69" s="11" t="inlineStr">
        <is>
          <t>capture de l'agence réglementaire</t>
        </is>
      </c>
      <c r="F69" s="10" t="inlineStr">
        <is>
          <t>Bloc</t>
        </is>
      </c>
      <c r="G69" s="10" t="inlineStr"/>
      <c r="H69" s="10" t="n">
        <v>4</v>
      </c>
      <c r="I69" s="10" t="inlineStr"/>
      <c r="J69" s="10" t="inlineStr"/>
      <c r="K69" s="10" t="inlineStr"/>
      <c r="L69" s="10" t="n">
        <v>3</v>
      </c>
      <c r="M69" s="11" t="inlineStr"/>
      <c r="N69" s="10" t="n">
        <v>66</v>
      </c>
      <c r="O69" s="11" t="inlineStr">
        <is>
          <t>Difficile à annuler</t>
        </is>
      </c>
      <c r="P69" s="10" t="inlineStr">
        <is>
          <t>Élevée</t>
        </is>
      </c>
      <c r="Q69" s="10" t="inlineStr">
        <is>
          <t>A12</t>
        </is>
      </c>
      <c r="R69" s="10" t="inlineStr"/>
      <c r="S69" s="11" t="inlineStr"/>
      <c r="T69" s="10" t="n">
        <v>5</v>
      </c>
      <c r="U69" s="11" t="inlineStr">
        <is>
          <t>Contrainte −17. Sans effet sur un bloc verrouillé par une loi-cadre.</t>
        </is>
      </c>
      <c r="V69" s="11" t="inlineStr">
        <is>
          <t>Une autorité de contrôle surdimensionnée coûte cher et ralentit les projets. Recentrer ses moyens sur ses missions essentielles est une bonne gestion des finances publiques.</t>
        </is>
      </c>
      <c r="W69" s="11" t="inlineStr">
        <is>
          <t>Sous-dotation chronique des autorités de contrôle environnemental dans plusieurs blocs.</t>
        </is>
      </c>
      <c r="X69" s="11" t="inlineStr">
        <is>
          <t>Le résultat est que la norme reste au Journal officiel et cesse d'être appliquée. C'est moins visible qu'une abrogation, donc moins coûteux politiquement. Une loi-cadre avec budget carbone opposable rend le sous-contrôle attaquable en justice.</t>
        </is>
      </c>
      <c r="Y69" s="11" t="inlineStr">
        <is>
          <t>Pilier · Institutionnel — le vote reste, l'effet disparaît. Mécanique unique et brutale</t>
        </is>
      </c>
    </row>
    <row r="70">
      <c r="A70" s="10" t="inlineStr">
        <is>
          <t>T18</t>
        </is>
      </c>
      <c r="B70" s="10" t="inlineStr">
        <is>
          <t>Attentiste</t>
        </is>
      </c>
      <c r="C70" s="10" t="inlineStr">
        <is>
          <t>International</t>
        </is>
      </c>
      <c r="D70" s="11" t="inlineStr">
        <is>
          <t>Occupation des négociations internationales</t>
        </is>
      </c>
      <c r="E70" s="11" t="inlineStr">
        <is>
          <t>délégation élargie</t>
        </is>
      </c>
      <c r="F70" s="10" t="inlineStr">
        <is>
          <t>Mondial</t>
        </is>
      </c>
      <c r="G70" s="10" t="inlineStr"/>
      <c r="H70" s="10" t="n">
        <v>2</v>
      </c>
      <c r="I70" s="10" t="inlineStr"/>
      <c r="J70" s="10" t="inlineStr"/>
      <c r="K70" s="10" t="inlineStr"/>
      <c r="L70" s="10" t="n">
        <v>2</v>
      </c>
      <c r="M70" s="11" t="inlineStr"/>
      <c r="N70" s="10" t="n">
        <v>100</v>
      </c>
      <c r="O70" s="11" t="inlineStr">
        <is>
          <t>Facile à annuler</t>
        </is>
      </c>
      <c r="P70" s="10" t="inlineStr">
        <is>
          <t>Élevée</t>
        </is>
      </c>
      <c r="Q70" s="10" t="inlineStr">
        <is>
          <t>A66</t>
        </is>
      </c>
      <c r="R70" s="10" t="inlineStr"/>
      <c r="S70" s="11" t="inlineStr"/>
      <c r="T70" s="10" t="n">
        <v>3</v>
      </c>
      <c r="U70" s="11" t="inlineStr">
        <is>
          <t>Chaque effet différé en attente perd 3 de contrainte, et le prochain sommet international reste sans effet.</t>
        </is>
      </c>
      <c r="V70" s="11" t="inlineStr">
        <is>
          <t>Il n'est pas nécessaire de bloquer : il suffit d'être assez nombreux dans la salle pour que chaque formulation soit négociée jusqu'à ne plus rien exiger.</t>
        </is>
      </c>
      <c r="W70" s="11" t="inlineStr">
        <is>
          <t>Plus de 2 400 personnes affiliées aux énergies fossiles accréditées à la COP28, 2023 — davantage que la quasi-totalité des délégations nationales.</t>
        </is>
      </c>
      <c r="X70" s="11" t="inlineStr">
        <is>
          <t>On dilue un texte en préparation, pas un texte déjà entré en vigueur.</t>
        </is>
      </c>
      <c r="Y70" s="11" t="inlineStr">
        <is>
          <t>Extension · portée mondiale à coût faible ; réintégrer avec la couche internationale</t>
        </is>
      </c>
    </row>
    <row r="71">
      <c r="A71" s="10" t="inlineStr">
        <is>
          <t>T19</t>
        </is>
      </c>
      <c r="B71" s="10" t="inlineStr">
        <is>
          <t>Attentiste</t>
        </is>
      </c>
      <c r="C71" s="10" t="inlineStr">
        <is>
          <t>Institutionnel</t>
        </is>
      </c>
      <c r="D71" s="11" t="inlineStr">
        <is>
          <t>Harmonisation nationale</t>
        </is>
      </c>
      <c r="E71" s="11" t="inlineStr">
        <is>
          <t>préemption législative</t>
        </is>
      </c>
      <c r="F71" s="10" t="inlineStr">
        <is>
          <t>Bloc</t>
        </is>
      </c>
      <c r="G71" s="10" t="n">
        <v>3</v>
      </c>
      <c r="H71" s="10" t="inlineStr"/>
      <c r="I71" s="10" t="inlineStr"/>
      <c r="J71" s="10" t="inlineStr"/>
      <c r="K71" s="10" t="inlineStr"/>
      <c r="L71" s="10" t="n">
        <v>2</v>
      </c>
      <c r="M71" s="11" t="inlineStr"/>
      <c r="N71" s="10" t="n">
        <v>72</v>
      </c>
      <c r="O71" s="11" t="inlineStr">
        <is>
          <t>Difficile à annuler</t>
        </is>
      </c>
      <c r="P71" s="10" t="inlineStr">
        <is>
          <t>Élevée</t>
        </is>
      </c>
      <c r="Q71" s="10" t="inlineStr">
        <is>
          <t>A61</t>
        </is>
      </c>
      <c r="R71" s="10" t="inlineStr"/>
      <c r="S71" s="11" t="inlineStr">
        <is>
          <t>Verrou administratif (avec T20)</t>
        </is>
      </c>
      <c r="T71" s="10" t="n">
        <v>5</v>
      </c>
      <c r="U71" s="11" t="inlineStr">
        <is>
          <t>Le camp actif ne peut plus jouer sur ce bloc pendant deux tours, sauf par l'échelon local.</t>
        </is>
      </c>
      <c r="V71" s="11" t="inlineStr">
        <is>
          <t>Un patchwork de règles locales fragmente le marché intérieur et crée une insécurité juridique pour les entreprises. Fixer la règle au niveau national est un principe d'égalité devant la loi.</t>
        </is>
      </c>
      <c r="W71" s="11" t="inlineStr">
        <is>
          <t>Plus de vingt États américains interdisant à leurs villes de bannir le gaz depuis 2020.</t>
        </is>
      </c>
      <c r="X71" s="11" t="inlineStr">
        <is>
          <t>Plus de vingt États américains interdisent depuis 2020 à leurs villes de bannir le gaz. L'harmonisation retire l'échelon où les majorités climatiques sont les plus solides. Les réseaux de villes internationaux contournent partiellement le blocage.</t>
        </is>
      </c>
      <c r="Y71" s="11" t="inlineStr">
        <is>
          <t>Noyau · Institutionnel — annule d'un coup toutes les cartes locales adverses (contre A61)</t>
        </is>
      </c>
    </row>
    <row r="72">
      <c r="A72" s="10" t="inlineStr">
        <is>
          <t>T20</t>
        </is>
      </c>
      <c r="B72" s="10" t="inlineStr">
        <is>
          <t>Attentiste</t>
        </is>
      </c>
      <c r="C72" s="10" t="inlineStr">
        <is>
          <t>Institutionnel</t>
        </is>
      </c>
      <c r="D72" s="11" t="inlineStr">
        <is>
          <t>Simplification normative</t>
        </is>
      </c>
      <c r="E72" s="11" t="inlineStr">
        <is>
          <t>détricotage administratif</t>
        </is>
      </c>
      <c r="F72" s="10" t="inlineStr">
        <is>
          <t>Bloc</t>
        </is>
      </c>
      <c r="G72" s="10" t="inlineStr"/>
      <c r="H72" s="10" t="n">
        <v>3</v>
      </c>
      <c r="I72" s="10" t="inlineStr"/>
      <c r="J72" s="10" t="inlineStr"/>
      <c r="K72" s="10" t="inlineStr"/>
      <c r="L72" s="10" t="n">
        <v>3</v>
      </c>
      <c r="M72" s="11" t="inlineStr">
        <is>
          <t>au moins cinq mesures adverses en vigueur — il faut un stock à simplifier</t>
        </is>
      </c>
      <c r="N72" s="10" t="n">
        <v>70</v>
      </c>
      <c r="O72" s="11" t="inlineStr">
        <is>
          <t>Facile à annuler</t>
        </is>
      </c>
      <c r="P72" s="10" t="inlineStr">
        <is>
          <t>Élevée</t>
        </is>
      </c>
      <c r="Q72" s="10" t="inlineStr">
        <is>
          <t>A12</t>
        </is>
      </c>
      <c r="R72" s="10" t="inlineStr"/>
      <c r="S72" s="11" t="inlineStr">
        <is>
          <t>Verrou administratif (avec T19)</t>
        </is>
      </c>
      <c r="T72" s="10" t="n">
        <v>5</v>
      </c>
      <c r="U72" s="11" t="inlineStr">
        <is>
          <t>Contrainte −14 et plafond −6. Passe sous le radar médiatique.</t>
        </is>
      </c>
      <c r="V72" s="11" t="inlineStr">
        <is>
          <t>Alléger des obligations de reporting devenues illisibles rend du temps et de l'argent aux entreprises, en particulier aux plus petites. Personne ne défend la complexité pour elle-même.</t>
        </is>
      </c>
      <c r="W72" s="11" t="inlineStr">
        <is>
          <t>Paquet omnibus européen de 2025, réduisant fortement le périmètre de CSRD et CSDDD.</t>
        </is>
      </c>
      <c r="X72" s="11" t="inlineStr">
        <is>
          <t>Le paquet omnibus européen de 2025 a fortement réduit le périmètre de CSRD et CSDDD. Vider une norme par simplification ne mobilise personne, contrairement à une abrogation. Inopérant contre une mesure inscrite dans une trajectoire opposable.</t>
        </is>
      </c>
      <c r="Y72" s="11" t="inlineStr">
        <is>
          <t>Pilier · Institutionnel — vide une norme par simplification, sous le radar médiatique (omnibus UE 2025)</t>
        </is>
      </c>
    </row>
    <row r="73">
      <c r="A73" s="10" t="inlineStr">
        <is>
          <t>T21</t>
        </is>
      </c>
      <c r="B73" s="10" t="inlineStr">
        <is>
          <t>Attentiste</t>
        </is>
      </c>
      <c r="C73" s="10" t="inlineStr">
        <is>
          <t>Institutionnel</t>
        </is>
      </c>
      <c r="D73" s="11" t="inlineStr">
        <is>
          <t>Concertation approfondie</t>
        </is>
      </c>
      <c r="E73" s="11" t="inlineStr">
        <is>
          <t>obstruction procédurale</t>
        </is>
      </c>
      <c r="F73" s="10" t="inlineStr">
        <is>
          <t>Bloc</t>
        </is>
      </c>
      <c r="G73" s="10" t="n">
        <v>2</v>
      </c>
      <c r="H73" s="10" t="inlineStr"/>
      <c r="I73" s="10" t="inlineStr"/>
      <c r="J73" s="10" t="inlineStr"/>
      <c r="K73" s="10" t="inlineStr"/>
      <c r="L73" s="10" t="n">
        <v>2</v>
      </c>
      <c r="M73" s="11" t="inlineStr"/>
      <c r="N73" s="10" t="n">
        <v>100</v>
      </c>
      <c r="O73" s="11" t="inlineStr">
        <is>
          <t>Facile à annuler</t>
        </is>
      </c>
      <c r="P73" s="10" t="inlineStr">
        <is>
          <t>Élevée</t>
        </is>
      </c>
      <c r="Q73" s="10" t="inlineStr">
        <is>
          <t>A12</t>
        </is>
      </c>
      <c r="R73" s="10" t="inlineStr"/>
      <c r="S73" s="11" t="inlineStr"/>
      <c r="T73" s="10" t="n">
        <v>4</v>
      </c>
      <c r="U73" s="11" t="inlineStr">
        <is>
          <t>Tous les effets différés en cours sur ce bloc sont retardés de deux tours.</t>
        </is>
      </c>
      <c r="V73" s="11" t="inlineStr">
        <is>
          <t>Une réglementation mal préparée se fait annuler et fait perdre des années. Prendre le temps de la consultation et de l'étude d'impact est la condition de sa solidité juridique.</t>
        </is>
      </c>
      <c r="W73" s="11" t="inlineStr">
        <is>
          <t>Multiplication des phases de concertation préalable sur les projets réglementaires.</t>
        </is>
      </c>
      <c r="X73" s="11" t="inlineStr">
        <is>
          <t>L'argument ne s'oppose jamais publiquement au fond — c'est ce qui le rend difficile à combattre. Multiplier les phases repousse l'entrée en vigueur sans qu'aucun vote défavorable n'ait lieu. Des échéances datées dans la loi rendent le report juridiquement attaquable.</t>
        </is>
      </c>
      <c r="Y73" s="11" t="inlineStr">
        <is>
          <t>Noyau · Institutionnel — PROMU : report de 2 à 3 tours sans jamais s'opposer publiquement. Contre de A63</t>
        </is>
      </c>
    </row>
    <row r="74">
      <c r="A74" s="10" t="inlineStr">
        <is>
          <t>T22</t>
        </is>
      </c>
      <c r="B74" s="10" t="inlineStr">
        <is>
          <t>Attentiste</t>
        </is>
      </c>
      <c r="C74" s="10" t="inlineStr">
        <is>
          <t>Institutionnel</t>
        </is>
      </c>
      <c r="D74" s="11" t="inlineStr">
        <is>
          <t>Adaptation sectorielle</t>
        </is>
      </c>
      <c r="E74" s="11" t="inlineStr">
        <is>
          <t>exemption négociée</t>
        </is>
      </c>
      <c r="F74" s="10" t="inlineStr">
        <is>
          <t>Bloc</t>
        </is>
      </c>
      <c r="G74" s="10" t="inlineStr"/>
      <c r="H74" s="10" t="n">
        <v>3</v>
      </c>
      <c r="I74" s="10" t="inlineStr"/>
      <c r="J74" s="10" t="inlineStr"/>
      <c r="K74" s="10" t="inlineStr"/>
      <c r="L74" s="10" t="n">
        <v>1</v>
      </c>
      <c r="M74" s="11" t="inlineStr"/>
      <c r="N74" s="10" t="n">
        <v>100</v>
      </c>
      <c r="O74" s="11" t="inlineStr">
        <is>
          <t>Difficile à annuler</t>
        </is>
      </c>
      <c r="P74" s="10" t="inlineStr">
        <is>
          <t>Élevée</t>
        </is>
      </c>
      <c r="Q74" s="10" t="inlineStr">
        <is>
          <t>A12</t>
        </is>
      </c>
      <c r="R74" s="10" t="inlineStr"/>
      <c r="S74" s="11" t="inlineStr"/>
      <c r="T74" s="10" t="n">
        <v>5</v>
      </c>
      <c r="U74" s="11" t="inlineStr">
        <is>
          <t>Contrainte −12. Sans effet si le bloc est verrouillé.</t>
        </is>
      </c>
      <c r="V74" s="11" t="inlineStr">
        <is>
          <t>Certains secteurs n'ont pas d'alternative technique disponible. Les soumettre à la règle générale ne réduit rien et détruit de la valeur : l'exception est une mesure de bon sens.</t>
        </is>
      </c>
      <c r="W74" s="11" t="inlineStr">
        <is>
          <t>Aviation et maritime longtemps hors ETS ; dérogations agricoles obtenues en 2024.</t>
        </is>
      </c>
      <c r="X74" s="11" t="inlineStr">
        <is>
          <t>L'aviation et le maritime sont restés longtemps hors ETS, les dérogations agricoles ont été obtenues en 2024. Chaque exemption affaiblit la crédibilité du texte et en appelle d'autres. Sans effet sur un bloc verrouillé par une loi-cadre.</t>
        </is>
      </c>
      <c r="Y74" s="11" t="inlineStr">
        <is>
          <t>Noyau · Institutionnel — la mesure passe, le secteur clé en sort (puissance 5)</t>
        </is>
      </c>
    </row>
    <row r="75">
      <c r="A75" s="10" t="inlineStr">
        <is>
          <t>T23</t>
        </is>
      </c>
      <c r="B75" s="10" t="inlineStr">
        <is>
          <t>Attentiste</t>
        </is>
      </c>
      <c r="C75" s="10" t="inlineStr">
        <is>
          <t>Institutionnel</t>
        </is>
      </c>
      <c r="D75" s="11" t="inlineStr">
        <is>
          <t>Clause de réexamen</t>
        </is>
      </c>
      <c r="E75" s="11" t="inlineStr">
        <is>
          <t>annulation programmée</t>
        </is>
      </c>
      <c r="F75" s="10" t="inlineStr">
        <is>
          <t>Bloc</t>
        </is>
      </c>
      <c r="G75" s="10" t="n">
        <v>1</v>
      </c>
      <c r="H75" s="10" t="inlineStr"/>
      <c r="I75" s="10" t="inlineStr"/>
      <c r="J75" s="10" t="inlineStr"/>
      <c r="K75" s="10" t="inlineStr"/>
      <c r="L75" s="10" t="n">
        <v>2</v>
      </c>
      <c r="M75" s="11" t="inlineStr">
        <is>
          <t>au moins deux mesures adverses en vigueur, dans lesquelles insérer la clause</t>
        </is>
      </c>
      <c r="N75" s="10" t="n">
        <v>100</v>
      </c>
      <c r="O75" s="11" t="inlineStr">
        <is>
          <t>Facile à annuler</t>
        </is>
      </c>
      <c r="P75" s="10" t="inlineStr">
        <is>
          <t>Élevée</t>
        </is>
      </c>
      <c r="Q75" s="10" t="inlineStr">
        <is>
          <t>A62</t>
        </is>
      </c>
      <c r="R75" s="10" t="inlineStr"/>
      <c r="S75" s="11" t="inlineStr"/>
      <c r="T75" s="10" t="n">
        <v>4</v>
      </c>
      <c r="U75" s="11" t="inlineStr">
        <is>
          <t>Programme l'annulation d'une mesure du bloc dans trois tours.</t>
        </is>
      </c>
      <c r="V75" s="11" t="inlineStr">
        <is>
          <t>Une trajectoire fixée pour dix ans doit pouvoir être ajustée si la technologie ou le contexte économique changent. Prévoir un rendez-vous est de la bonne législation.</t>
        </is>
      </c>
      <c r="W75" s="11" t="inlineStr">
        <is>
          <t>Clause de réexamen 2026 inscrite dans le règlement européen de fin du thermique en 2035.</t>
        </is>
      </c>
      <c r="X75" s="11" t="inlineStr">
        <is>
          <t>Insérer une révision datée coûte presque rien au moment du vote et rouvre tout au moment choisi. Le règlement européen de fin du thermique en 2035 comporte une clause de réexamen en 2026. Un accord transpartisan retire la revoyure du jeu politique ordinaire.</t>
        </is>
      </c>
      <c r="Y75" s="11" t="inlineStr">
        <is>
          <t>Signature · Institutionnel — fenêtre d'annulation programmée au tour n+3. Mécaniquement très élégant</t>
        </is>
      </c>
    </row>
    <row r="76">
      <c r="A76" s="10" t="inlineStr">
        <is>
          <t>T24</t>
        </is>
      </c>
      <c r="B76" s="10" t="inlineStr">
        <is>
          <t>Attentiste</t>
        </is>
      </c>
      <c r="C76" s="10" t="inlineStr">
        <is>
          <t>Judiciaire</t>
        </is>
      </c>
      <c r="D76" s="11" t="inlineStr">
        <is>
          <t>Protection des investissements</t>
        </is>
      </c>
      <c r="E76" s="11" t="inlineStr">
        <is>
          <t>arbitrage investisseur-État</t>
        </is>
      </c>
      <c r="F76" s="10" t="inlineStr">
        <is>
          <t>Mondial</t>
        </is>
      </c>
      <c r="G76" s="10" t="inlineStr"/>
      <c r="H76" s="10" t="n">
        <v>4</v>
      </c>
      <c r="I76" s="10" t="inlineStr"/>
      <c r="J76" s="10" t="inlineStr"/>
      <c r="K76" s="10" t="inlineStr"/>
      <c r="L76" s="10" t="n">
        <v>3</v>
      </c>
      <c r="M76" s="11" t="inlineStr">
        <is>
          <t>au moins trois mesures adverses en vigueur</t>
        </is>
      </c>
      <c r="N76" s="10" t="n">
        <v>60</v>
      </c>
      <c r="O76" s="11" t="inlineStr">
        <is>
          <t>Difficile à annuler</t>
        </is>
      </c>
      <c r="P76" s="10" t="inlineStr">
        <is>
          <t>Élevée</t>
        </is>
      </c>
      <c r="Q76" s="10" t="inlineStr">
        <is>
          <t>A71</t>
        </is>
      </c>
      <c r="R76" s="10" t="inlineStr"/>
      <c r="S76" s="11" t="inlineStr"/>
      <c r="T76" s="10" t="n">
        <v>4</v>
      </c>
      <c r="U76" s="11" t="inlineStr">
        <is>
          <t>Contrainte −8 sur les deux blocs les plus contraints. Sans effet si un avis international a été rendu.</t>
        </is>
      </c>
      <c r="V76" s="11" t="inlineStr">
        <is>
          <t>Un investisseur qui a engagé des milliards sur la foi d'un cadre juridique doit pouvoir être indemnisé si l'État change ce cadre. C'est le principe de sécurité juridique.</t>
        </is>
      </c>
      <c r="W76" s="11" t="inlineStr">
        <is>
          <t>RWE et Uniper contre Pays-Bas (environ 1,4 Md€) ; Rockhopper contre Italie (190 M€), via le Traité sur la Charte de l'énergie.</t>
        </is>
      </c>
      <c r="X76" s="11" t="inlineStr">
        <is>
          <t>RWE et Uniper ont réclamé environ 1,4 Md€ aux Pays-Bas, Rockhopper 190 M€ à l'Italie, via le Traité sur la Charte de l'énergie. L'effet dissuasif dépasse largement les cas jugés. Les retraits du Traité depuis 2023 réduisent le terrain de jeu.</t>
        </is>
      </c>
      <c r="Y76" s="11" t="inlineStr">
        <is>
          <t>Noyau · Judiciaire — fait payer à l'État le coût de sa propre politique. Effet dissuasif au-delà du cas jugé</t>
        </is>
      </c>
    </row>
    <row r="77">
      <c r="A77" s="10" t="inlineStr">
        <is>
          <t>T25</t>
        </is>
      </c>
      <c r="B77" s="10" t="inlineStr">
        <is>
          <t>Attentiste</t>
        </is>
      </c>
      <c r="C77" s="10" t="inlineStr">
        <is>
          <t>Judiciaire</t>
        </is>
      </c>
      <c r="D77" s="11" t="inlineStr">
        <is>
          <t>Recours en légalité</t>
        </is>
      </c>
      <c r="E77" s="11" t="inlineStr">
        <is>
          <t>contentieux dilatoire</t>
        </is>
      </c>
      <c r="F77" s="10" t="inlineStr">
        <is>
          <t>Bloc</t>
        </is>
      </c>
      <c r="G77" s="10" t="inlineStr"/>
      <c r="H77" s="10" t="n">
        <v>3</v>
      </c>
      <c r="I77" s="10" t="inlineStr"/>
      <c r="J77" s="10" t="inlineStr"/>
      <c r="K77" s="10" t="inlineStr"/>
      <c r="L77" s="10" t="n">
        <v>1</v>
      </c>
      <c r="M77" s="11" t="inlineStr">
        <is>
          <t>au moins deux mesures adverses en vigueur — sans texte, pas de recours</t>
        </is>
      </c>
      <c r="N77" s="10" t="n">
        <v>76</v>
      </c>
      <c r="O77" s="11" t="inlineStr">
        <is>
          <t>Facile à annuler</t>
        </is>
      </c>
      <c r="P77" s="10" t="inlineStr">
        <is>
          <t>Élevée</t>
        </is>
      </c>
      <c r="Q77" s="10" t="inlineStr">
        <is>
          <t>A33</t>
        </is>
      </c>
      <c r="R77" s="10" t="inlineStr"/>
      <c r="S77" s="11" t="inlineStr"/>
      <c r="T77" s="10" t="n">
        <v>4</v>
      </c>
      <c r="U77" s="11" t="inlineStr">
        <is>
          <t>Suspend la dernière mesure du bloc : contrainte −10 au plus, −4 si le bloc n'a aucune mesure.</t>
        </is>
      </c>
      <c r="V77" s="11" t="inlineStr">
        <is>
          <t>Une norme entachée d'un vice de procédure ou disproportionnée doit pouvoir être contestée. Le recours est un droit, pas une manœuvre.</t>
        </is>
      </c>
      <c r="W77" s="11" t="inlineStr">
        <is>
          <t>Contentieux systématiques contre les réglementations environnementales fédérales américaines.</t>
        </is>
      </c>
      <c r="X77" s="11" t="inlineStr">
        <is>
          <t>Gagner n'est pas nécessaire : trois à cinq ans de suspension suffisent. Les réglementations environnementales fédérales américaines font l'objet de recours quasi systématiques. Sans effet sur les mesures adossées à une obligation juridictionnelle supérieure.</t>
        </is>
      </c>
      <c r="Y77" s="11" t="inlineStr">
        <is>
          <t>Noyau · Judiciaire — gagner n'est pas nécessaire, retarder suffit. Niveau Découverte</t>
        </is>
      </c>
    </row>
    <row r="78">
      <c r="A78" s="10" t="inlineStr">
        <is>
          <t>T26</t>
        </is>
      </c>
      <c r="B78" s="10" t="inlineStr">
        <is>
          <t>Attentiste</t>
        </is>
      </c>
      <c r="C78" s="10" t="inlineStr">
        <is>
          <t>Judiciaire</t>
        </is>
      </c>
      <c r="D78" s="11" t="inlineStr">
        <is>
          <t>Action en diffamation</t>
        </is>
      </c>
      <c r="E78" s="11" t="inlineStr">
        <is>
          <t>procédure-bâillon</t>
        </is>
      </c>
      <c r="F78" s="10" t="inlineStr">
        <is>
          <t>Bloc</t>
        </is>
      </c>
      <c r="G78" s="10" t="inlineStr"/>
      <c r="H78" s="10" t="n">
        <v>3</v>
      </c>
      <c r="I78" s="10" t="inlineStr"/>
      <c r="J78" s="10" t="inlineStr"/>
      <c r="K78" s="10" t="inlineStr"/>
      <c r="L78" s="10" t="n">
        <v>3</v>
      </c>
      <c r="M78" s="11" t="inlineStr">
        <is>
          <t>au moins trois mesures adverses en vigueur</t>
        </is>
      </c>
      <c r="N78" s="10" t="n">
        <v>68</v>
      </c>
      <c r="O78" s="11" t="inlineStr">
        <is>
          <t>Difficile à annuler</t>
        </is>
      </c>
      <c r="P78" s="10" t="inlineStr">
        <is>
          <t>Élevée</t>
        </is>
      </c>
      <c r="Q78" s="10" t="inlineStr">
        <is>
          <t>A54</t>
        </is>
      </c>
      <c r="R78" s="10" t="inlineStr"/>
      <c r="S78" s="11" t="inlineStr"/>
      <c r="T78" s="10" t="n">
        <v>3</v>
      </c>
      <c r="U78" s="11" t="inlineStr">
        <is>
          <t>Le camp actif perd 1 point d'Attention pendant deux tours.</t>
        </is>
      </c>
      <c r="V78" s="11" t="inlineStr">
        <is>
          <t>Une accusation publique infondée cause un préjudice réel. Saisir le juge est la voie normale pour le faire constater.</t>
        </is>
      </c>
      <c r="W78" s="11" t="inlineStr">
        <is>
          <t>Poursuites contre des ONG environnementales en Europe et aux États-Unis ; directive européenne anti-SLAPP de 2024.</t>
        </is>
      </c>
      <c r="X78" s="11" t="inlineStr">
        <is>
          <t>Le déséquilibre de moyens fait l'effet : une ONG ou un journaliste indépendant s'épuise financièrement avant le jugement, quelle que soit l'issue. La directive européenne anti-SLAPP de 2024 rend la procédure risquée pour son auteur dans les blocs européens.</t>
        </is>
      </c>
      <c r="Y78" s="11" t="inlineStr">
        <is>
          <t>Noyau · Judiciaire — supprime une source d'attribution adverse (contre A54 et A49)</t>
        </is>
      </c>
    </row>
    <row r="79">
      <c r="A79" s="10" t="inlineStr">
        <is>
          <t>T27</t>
        </is>
      </c>
      <c r="B79" s="10" t="inlineStr">
        <is>
          <t>Attentiste</t>
        </is>
      </c>
      <c r="C79" s="10" t="inlineStr">
        <is>
          <t>Judiciaire</t>
        </is>
      </c>
      <c r="D79" s="11" t="inlineStr">
        <is>
          <t>Criminalisation de la contestation</t>
        </is>
      </c>
      <c r="E79" s="11" t="inlineStr">
        <is>
          <t>maintien de l'ordre</t>
        </is>
      </c>
      <c r="F79" s="10" t="inlineStr">
        <is>
          <t>Bloc</t>
        </is>
      </c>
      <c r="G79" s="10" t="inlineStr"/>
      <c r="H79" s="10" t="n">
        <v>3</v>
      </c>
      <c r="I79" s="10" t="inlineStr"/>
      <c r="J79" s="10" t="inlineStr"/>
      <c r="K79" s="10" t="inlineStr"/>
      <c r="L79" s="10" t="n">
        <v>3</v>
      </c>
      <c r="M79" s="11" t="inlineStr">
        <is>
          <t>une contestation à réprimer : une désobéissance civile jouée, ou un bloc à 40 de friction</t>
        </is>
      </c>
      <c r="N79" s="10" t="n">
        <v>70</v>
      </c>
      <c r="O79" s="11" t="inlineStr">
        <is>
          <t>Difficile à annuler</t>
        </is>
      </c>
      <c r="P79" s="10" t="inlineStr">
        <is>
          <t>Élevée</t>
        </is>
      </c>
      <c r="Q79" s="10" t="inlineStr">
        <is>
          <t>A52</t>
        </is>
      </c>
      <c r="R79" s="10" t="inlineStr"/>
      <c r="S79" s="11" t="inlineStr"/>
      <c r="T79" s="10" t="n">
        <v>3</v>
      </c>
      <c r="U79" s="11" t="inlineStr">
        <is>
          <t>La friction du bloc retombe de 12 et la désobéissance civile y devient injouable pour le reste de la partie. Crédibilité adverse −6.</t>
        </is>
      </c>
      <c r="V79" s="11" t="inlineStr">
        <is>
          <t>Alourdir les peines pour blocage d'infrastructure ne vise pas l'opinion mais la capacité d'action. Le mouvement ne se tait pas, il devient trop coûteux à rejoindre.</t>
        </is>
      </c>
      <c r="W79" s="11" t="inlineStr">
        <is>
          <t>Alourdissement des peines pour perturbation d'infrastructures au Royaume-Uni à partir de 2022 ; peines de prison ferme prononcées contre des militants climatiques en 2023-2024.</t>
        </is>
      </c>
      <c r="X79" s="11" t="inlineStr">
        <is>
          <t>Réprimer un mouvement le rend plus visible qu'il ne l'était. La friction retombe, mais le soutien réel déjà acquis reste acquis.</t>
        </is>
      </c>
      <c r="Y79" s="11" t="inlineStr">
        <is>
          <t>Extension · transforme A52 en handicap — réintégrer si A52 entre dans le noyau</t>
        </is>
      </c>
    </row>
    <row r="80">
      <c r="A80" s="10" t="inlineStr">
        <is>
          <t>T28</t>
        </is>
      </c>
      <c r="B80" s="10" t="inlineStr">
        <is>
          <t>Attentiste</t>
        </is>
      </c>
      <c r="C80" s="10" t="inlineStr">
        <is>
          <t>Judiciaire</t>
        </is>
      </c>
      <c r="D80" s="11" t="inlineStr">
        <is>
          <t>Attaque constitutionnelle de la mesure</t>
        </is>
      </c>
      <c r="E80" s="11" t="inlineStr">
        <is>
          <t>le vice de forme</t>
        </is>
      </c>
      <c r="F80" s="10" t="inlineStr">
        <is>
          <t>Bloc</t>
        </is>
      </c>
      <c r="G80" s="10" t="inlineStr"/>
      <c r="H80" s="10" t="n">
        <v>3</v>
      </c>
      <c r="I80" s="10" t="inlineStr"/>
      <c r="J80" s="10" t="inlineStr"/>
      <c r="K80" s="10" t="inlineStr"/>
      <c r="L80" s="10" t="n">
        <v>3</v>
      </c>
      <c r="M80" s="11" t="inlineStr">
        <is>
          <t>une mesure adverse à faire censurer</t>
        </is>
      </c>
      <c r="N80" s="10" t="n">
        <v>62</v>
      </c>
      <c r="O80" s="11" t="inlineStr">
        <is>
          <t>Irréversible</t>
        </is>
      </c>
      <c r="P80" s="10" t="inlineStr">
        <is>
          <t>Élevée</t>
        </is>
      </c>
      <c r="Q80" s="10" t="inlineStr">
        <is>
          <t>A70</t>
        </is>
      </c>
      <c r="R80" s="10" t="inlineStr"/>
      <c r="S80" s="11" t="inlineStr"/>
      <c r="T80" s="10" t="n">
        <v>4</v>
      </c>
      <c r="U80" s="11" t="inlineStr">
        <is>
          <t>Fait tomber la dernière mesure du bloc sur un motif de forme : la contrainte perd la valeur de cette mesure, la loi-cadre saute, et plus aucune ne peut être reposée ici.</t>
        </is>
      </c>
      <c r="V80" s="11" t="inlineStr">
        <is>
          <t>On n'attaque pas le fond, qui se défend bien, mais la procédure, l'égalité devant les charges ou la compétence du législateur. La censure crée un précédent qui vaut interdiction.</t>
        </is>
      </c>
      <c r="W80" s="11" t="inlineStr">
        <is>
          <t>Censures constitutionnelles de dispositions fiscales environnementales, notamment la contribution carbone française annulée en décembre 2009 pour rupture d'égalité.</t>
        </is>
      </c>
      <c r="X80" s="11" t="inlineStr">
        <is>
          <t>Le précédent protège aussi l'adversaire : il fixe ce qui est censurable, donc ce qui ne l'est pas. Un texte réécrit en tenant compte de la censure passe ensuite sans obstacle.</t>
        </is>
      </c>
      <c r="Y80" s="11" t="inlineStr">
        <is>
          <t>Extension · irréversible et crée un précédent : puissant, à équilibrer avec soin</t>
        </is>
      </c>
    </row>
    <row r="81">
      <c r="A81" s="10" t="inlineStr">
        <is>
          <t>T30</t>
        </is>
      </c>
      <c r="B81" s="10" t="inlineStr">
        <is>
          <t>Attentiste</t>
        </is>
      </c>
      <c r="C81" s="10" t="inlineStr">
        <is>
          <t>Narratif</t>
        </is>
      </c>
      <c r="D81" s="11" t="inlineStr">
        <is>
          <t>Astroturfing</t>
        </is>
      </c>
      <c r="E81" s="11" t="inlineStr">
        <is>
          <t>collectif de riverains</t>
        </is>
      </c>
      <c r="F81" s="10" t="inlineStr">
        <is>
          <t>Bloc</t>
        </is>
      </c>
      <c r="G81" s="10" t="inlineStr"/>
      <c r="H81" s="10" t="n">
        <v>2</v>
      </c>
      <c r="I81" s="10" t="n">
        <v>1</v>
      </c>
      <c r="J81" s="10" t="inlineStr"/>
      <c r="K81" s="10" t="inlineStr"/>
      <c r="L81" s="10" t="n">
        <v>1</v>
      </c>
      <c r="M81" s="11" t="inlineStr"/>
      <c r="N81" s="10" t="n">
        <v>100</v>
      </c>
      <c r="O81" s="11" t="inlineStr">
        <is>
          <t>Facile à annuler</t>
        </is>
      </c>
      <c r="P81" s="10" t="inlineStr">
        <is>
          <t>Élevée</t>
        </is>
      </c>
      <c r="Q81" s="10" t="inlineStr">
        <is>
          <t>A50</t>
        </is>
      </c>
      <c r="R81" s="10" t="inlineStr"/>
      <c r="S81" s="11" t="inlineStr"/>
      <c r="T81" s="10" t="n">
        <v>4</v>
      </c>
      <c r="U81" s="11" t="inlineStr">
        <is>
          <t>Perçu −12 sans toucher au soutien réel : l'écart entre ce que le bloc pense et ce qu'il paraît penser se creuse d'autant.</t>
        </is>
      </c>
      <c r="V81" s="11" t="inlineStr">
        <is>
          <t>Fabriquer l'apparence d'une opposition locale spontanée coûte moins cher que de convaincre. L'élu ne mesure pas l'opinion, il mesure le bruit.</t>
        </is>
      </c>
      <c r="W81" s="11" t="inlineStr">
        <is>
          <t>Collectifs anti-éoliens à financement opaque ; campagnes de courriers pré-remplis adressés aux élus locaux.</t>
        </is>
      </c>
      <c r="X81" s="11" t="inlineStr">
        <is>
          <t>Le soutien réel reste intact dessous. Un levier de révélation le rattrape d'un coup, et l'astroturf apparaît alors pour ce qu'il est.</t>
        </is>
      </c>
      <c r="Y81" s="11" t="inlineStr">
        <is>
          <t>Extension · fait chuter le perçu sans toucher au réel : très bon candidat au noyau en seconde vague</t>
        </is>
      </c>
    </row>
    <row r="82">
      <c r="A82" s="10" t="inlineStr">
        <is>
          <t>T31</t>
        </is>
      </c>
      <c r="B82" s="10" t="inlineStr">
        <is>
          <t>Attentiste</t>
        </is>
      </c>
      <c r="C82" s="10" t="inlineStr">
        <is>
          <t>Narratif</t>
        </is>
      </c>
      <c r="D82" s="11" t="inlineStr">
        <is>
          <t>Communication sur les engagements</t>
        </is>
      </c>
      <c r="E82" s="11" t="inlineStr">
        <is>
          <t>greenwashing</t>
        </is>
      </c>
      <c r="F82" s="10" t="inlineStr">
        <is>
          <t>Bloc</t>
        </is>
      </c>
      <c r="G82" s="10" t="inlineStr"/>
      <c r="H82" s="10" t="n">
        <v>3</v>
      </c>
      <c r="I82" s="10" t="inlineStr"/>
      <c r="J82" s="10" t="inlineStr"/>
      <c r="K82" s="10" t="inlineStr"/>
      <c r="L82" s="10" t="n">
        <v>1</v>
      </c>
      <c r="M82" s="11" t="inlineStr"/>
      <c r="N82" s="10" t="n">
        <v>100</v>
      </c>
      <c r="O82" s="11" t="inlineStr">
        <is>
          <t>Facile à annuler</t>
        </is>
      </c>
      <c r="P82" s="10" t="inlineStr">
        <is>
          <t>Moyenne</t>
        </is>
      </c>
      <c r="Q82" s="10" t="inlineStr">
        <is>
          <t>A37</t>
        </is>
      </c>
      <c r="R82" s="10" t="inlineStr"/>
      <c r="S82" s="11" t="inlineStr">
        <is>
          <t>Chacun sa part (avec T01)</t>
        </is>
      </c>
      <c r="T82" s="10" t="n">
        <v>3</v>
      </c>
      <c r="U82" s="11" t="inlineStr">
        <is>
          <t>Perçu −11 pour le camp actif : le sentiment que le problème est déjà traité.</t>
        </is>
      </c>
      <c r="V82" s="11" t="inlineStr">
        <is>
          <t>Une entreprise qui investit dans la transition a le droit de le faire savoir. La communication est aussi ce qui rend la transition désirable auprès du public.</t>
        </is>
      </c>
      <c r="W82" s="11" t="inlineStr">
        <is>
          <t>Campagnes des majors sur leurs investissements bas carbone, souvent inférieurs à 5 % de leurs dépenses d'investissement.</t>
        </is>
      </c>
      <c r="X82" s="11" t="inlineStr">
        <is>
          <t>Les campagnes des majors portent souvent sur des investissements bas carbone inférieurs à 5 % de leurs dépenses d'investissement. L'effet sur l'opinion est le sentiment que le problème est déjà traité. Vulnérable au contentieux publicitaire et à l'interdiction de publicité fossile.</t>
        </is>
      </c>
      <c r="Y82" s="11" t="inlineStr">
        <is>
          <t>Noyau · Narratif — achète du soutien perçu sans réduire d'émissions</t>
        </is>
      </c>
    </row>
    <row r="83">
      <c r="A83" s="10" t="inlineStr">
        <is>
          <t>T33</t>
        </is>
      </c>
      <c r="B83" s="10" t="inlineStr">
        <is>
          <t>Attentiste</t>
        </is>
      </c>
      <c r="C83" s="10" t="inlineStr">
        <is>
          <t>Narratif</t>
        </is>
      </c>
      <c r="D83" s="11" t="inlineStr">
        <is>
          <t>Investissement dans les médias</t>
        </is>
      </c>
      <c r="E83" s="11" t="inlineStr">
        <is>
          <t>concentration médiatique</t>
        </is>
      </c>
      <c r="F83" s="10" t="inlineStr">
        <is>
          <t>Bloc</t>
        </is>
      </c>
      <c r="G83" s="10" t="inlineStr"/>
      <c r="H83" s="10" t="n">
        <v>5</v>
      </c>
      <c r="I83" s="10" t="inlineStr"/>
      <c r="J83" s="10" t="inlineStr"/>
      <c r="K83" s="10" t="inlineStr"/>
      <c r="L83" s="10" t="n">
        <v>3</v>
      </c>
      <c r="M83" s="11" t="inlineStr"/>
      <c r="N83" s="10" t="n">
        <v>100</v>
      </c>
      <c r="O83" s="11" t="inlineStr">
        <is>
          <t>Difficile à annuler</t>
        </is>
      </c>
      <c r="P83" s="10" t="inlineStr">
        <is>
          <t>Élevée</t>
        </is>
      </c>
      <c r="Q83" s="10" t="inlineStr">
        <is>
          <t>A37</t>
        </is>
      </c>
      <c r="R83" s="10" t="inlineStr"/>
      <c r="S83" s="11" t="inlineStr"/>
      <c r="T83" s="10" t="n">
        <v>5</v>
      </c>
      <c r="U83" s="11" t="inlineStr">
        <is>
          <t>Perçu −7 sur le bloc à chaque tour jusqu'à la fin de la partie.</t>
        </is>
      </c>
      <c r="V83" s="11" t="inlineStr">
        <is>
          <t>La presse perd de l'argent. Des actionnaires qui la recapitalisent la maintiennent en vie ; l'indépendance des rédactions est garantie par leur statut.</t>
        </is>
      </c>
      <c r="W83" s="11" t="inlineStr">
        <is>
          <t>Concentration croissante de la propriété des médias d'information dans plusieurs blocs depuis 2015.</t>
        </is>
      </c>
      <c r="X83" s="11" t="inlineStr">
        <is>
          <t>C'est le seul levier vraiment cumulatif du camp : il convertit du capital en influence durable sur l'attention. Cher, lent et très visible, il expose à l'investigation et au débat public sur la concentration.</t>
        </is>
      </c>
      <c r="Y83" s="11" t="inlineStr">
        <is>
          <t>Pilier · Narratif — convertit du capital en contrôle durable de l'attention (puissance 5)</t>
        </is>
      </c>
    </row>
    <row r="84">
      <c r="A84" s="10" t="inlineStr">
        <is>
          <t>T36</t>
        </is>
      </c>
      <c r="B84" s="10" t="inlineStr">
        <is>
          <t>Attentiste</t>
        </is>
      </c>
      <c r="C84" s="10" t="inlineStr">
        <is>
          <t>Narratif</t>
        </is>
      </c>
      <c r="D84" s="11" t="inlineStr">
        <is>
          <t>Maîtrise du calendrier</t>
        </is>
      </c>
      <c r="E84" s="11" t="inlineStr">
        <is>
          <t>saturation de l'attention</t>
        </is>
      </c>
      <c r="F84" s="10" t="inlineStr">
        <is>
          <t>Mondial</t>
        </is>
      </c>
      <c r="G84" s="10" t="inlineStr"/>
      <c r="H84" s="10" t="n">
        <v>3</v>
      </c>
      <c r="I84" s="10" t="inlineStr"/>
      <c r="J84" s="10" t="inlineStr"/>
      <c r="K84" s="10" t="inlineStr"/>
      <c r="L84" s="10" t="n">
        <v>1</v>
      </c>
      <c r="M84" s="11" t="inlineStr"/>
      <c r="N84" s="10" t="n">
        <v>100</v>
      </c>
      <c r="O84" s="11" t="inlineStr">
        <is>
          <t>Facile à annuler</t>
        </is>
      </c>
      <c r="P84" s="10" t="inlineStr">
        <is>
          <t>Élevée</t>
        </is>
      </c>
      <c r="Q84" s="10" t="inlineStr">
        <is>
          <t>A49</t>
        </is>
      </c>
      <c r="R84" s="10" t="inlineStr"/>
      <c r="S84" s="11" t="inlineStr"/>
      <c r="T84" s="10" t="n">
        <v>4</v>
      </c>
      <c r="U84" s="11" t="inlineStr">
        <is>
          <t>Aucune attribution d'événement possible ce tour-ci.</t>
        </is>
      </c>
      <c r="V84" s="11" t="inlineStr">
        <is>
          <t>Communiquer au bon moment fait partie du métier. Publier un rapport technique en pleine actualité chargée n'est pas une faute, c'est un arbitrage.</t>
        </is>
      </c>
      <c r="W84" s="11" t="inlineStr">
        <is>
          <t>Pratique documentée de publication des rapports défavorables les veilles de week-end et de grands événements.</t>
        </is>
      </c>
      <c r="X84" s="11" t="inlineStr">
        <is>
          <t>La pratique est documentée : les publications défavorables sortent les veilles de week-end et de grands événements. Une équipe d'attribution rapide publie avant la fenêtre de saturation.</t>
        </is>
      </c>
      <c r="Y84" s="11" t="inlineStr">
        <is>
          <t>Pilier · Narratif — contre direct de A49 : aucune attribution possible ce tour-ci</t>
        </is>
      </c>
    </row>
    <row r="85">
      <c r="A85" s="10" t="inlineStr">
        <is>
          <t>T38</t>
        </is>
      </c>
      <c r="B85" s="10" t="inlineStr">
        <is>
          <t>Attentiste</t>
        </is>
      </c>
      <c r="C85" s="10" t="inlineStr">
        <is>
          <t>Narratif</t>
        </is>
      </c>
      <c r="D85" s="11" t="inlineStr">
        <is>
          <t>Bataille des valeurs</t>
        </is>
      </c>
      <c r="E85" s="11" t="inlineStr">
        <is>
          <t>polarisation identitaire</t>
        </is>
      </c>
      <c r="F85" s="10" t="inlineStr">
        <is>
          <t>Bloc</t>
        </is>
      </c>
      <c r="G85" s="10" t="inlineStr"/>
      <c r="H85" s="10" t="inlineStr"/>
      <c r="I85" s="10" t="n">
        <v>4</v>
      </c>
      <c r="J85" s="10" t="inlineStr"/>
      <c r="K85" s="10" t="inlineStr"/>
      <c r="L85" s="10" t="n">
        <v>2</v>
      </c>
      <c r="M85" s="11" t="inlineStr"/>
      <c r="N85" s="10" t="n">
        <v>70</v>
      </c>
      <c r="O85" s="11" t="inlineStr">
        <is>
          <t>Irréversible</t>
        </is>
      </c>
      <c r="P85" s="10" t="inlineStr">
        <is>
          <t>Élevée</t>
        </is>
      </c>
      <c r="Q85" s="10" t="inlineStr"/>
      <c r="R85" s="10" t="inlineStr"/>
      <c r="S85" s="11" t="inlineStr"/>
      <c r="T85" s="10" t="n">
        <v>5</v>
      </c>
      <c r="U85" s="11" t="inlineStr">
        <is>
          <t>Perçu −12 et dépolitisation rendue impossible sur ce bloc pour toute la partie.</t>
        </is>
      </c>
      <c r="V85" s="11" t="inlineStr">
        <is>
          <t>L'écologie porte un projet de société qui ne dit pas son nom. Le nommer et le contester ouvertement est un débat démocratique légitime.</t>
        </is>
      </c>
      <c r="W85" s="11" t="inlineStr">
        <is>
          <t>Polarisation partisane croissante du sujet climatique depuis 2010, mesurée dans plusieurs démocraties.</t>
        </is>
      </c>
      <c r="X85" s="11" t="inlineStr">
        <is>
          <t>La polarisation partisane du climat est mesurée dans plusieurs démocraties depuis 2010. Une fois installée, elle ferme durablement la voie de l'accord transpartisan — y compris pour son auteur, qui perd aussi la possibilité du compromis.</t>
        </is>
      </c>
      <c r="Y85" s="11" t="inlineStr">
        <is>
          <t>Pilier · Narratif — irréversible, rend A62 (dépolitisation) impossible pour le reste de la partie</t>
        </is>
      </c>
    </row>
    <row r="86">
      <c r="A86" s="10" t="inlineStr">
        <is>
          <t>T39</t>
        </is>
      </c>
      <c r="B86" s="10" t="inlineStr">
        <is>
          <t>Attentiste</t>
        </is>
      </c>
      <c r="C86" s="10" t="inlineStr">
        <is>
          <t>Narratif</t>
        </is>
      </c>
      <c r="D86" s="11" t="inlineStr">
        <is>
          <t>Défense du pouvoir d'achat</t>
        </is>
      </c>
      <c r="E86" s="11" t="inlineStr">
        <is>
          <t>instrumentalisation du coût de la vie</t>
        </is>
      </c>
      <c r="F86" s="10" t="inlineStr">
        <is>
          <t>Bloc</t>
        </is>
      </c>
      <c r="G86" s="10" t="inlineStr"/>
      <c r="H86" s="10" t="inlineStr"/>
      <c r="I86" s="10" t="n">
        <v>2</v>
      </c>
      <c r="J86" s="10" t="inlineStr"/>
      <c r="K86" s="10" t="inlineStr"/>
      <c r="L86" s="10" t="n">
        <v>1</v>
      </c>
      <c r="M86" s="11" t="inlineStr"/>
      <c r="N86" s="10" t="n">
        <v>100</v>
      </c>
      <c r="O86" s="11" t="inlineStr">
        <is>
          <t>Facile à annuler</t>
        </is>
      </c>
      <c r="P86" s="10" t="inlineStr">
        <is>
          <t>Élevée</t>
        </is>
      </c>
      <c r="Q86" s="10" t="inlineStr">
        <is>
          <t>A31</t>
        </is>
      </c>
      <c r="R86" s="10" t="inlineStr"/>
      <c r="S86" s="11" t="inlineStr">
        <is>
          <t>Colère ciblée (avec T41)</t>
        </is>
      </c>
      <c r="T86" s="10" t="n">
        <v>5</v>
      </c>
      <c r="U86" s="11" t="inlineStr">
        <is>
          <t>Friction +24. Divisée par deux si la redistribution est installée, encore réduite si la coalition élargie existe.</t>
        </is>
      </c>
      <c r="V86" s="11" t="inlineStr">
        <is>
          <t>Une hausse du prix de l'énergie tombe immédiatement sur des ménages sans marge. Le rappeler au moment où la facture arrive n'est pas de la manipulation, c'est de la représentation.</t>
        </is>
      </c>
      <c r="W86" s="11" t="inlineStr">
        <is>
          <t>Crise énergétique de 2022 ; retournement du discours européen sur le Pacte vert dans la foulée.</t>
        </is>
      </c>
      <c r="X86" s="11" t="inlineStr">
        <is>
          <t>C'est le levier numéro un du camp depuis la crise énergétique de 2022, et il a suffi à retourner le discours européen sur le Pacte vert. Il perd la moitié de sa force face à une compensation visible, davantage encore face à une coalition qui inclut le pouvoir d'achat dès le départ.</t>
        </is>
      </c>
      <c r="Y86" s="11" t="inlineStr">
        <is>
          <t>Pilier · Narratif — levier numéro un depuis 2022. Convertit toute mesure non compensée en friction maximale</t>
        </is>
      </c>
    </row>
    <row r="87">
      <c r="A87" s="10" t="inlineStr">
        <is>
          <t>T40</t>
        </is>
      </c>
      <c r="B87" s="10" t="inlineStr">
        <is>
          <t>Attentiste</t>
        </is>
      </c>
      <c r="C87" s="10" t="inlineStr">
        <is>
          <t>Narratif</t>
        </is>
      </c>
      <c r="D87" s="11" t="inlineStr">
        <is>
          <t>Sécurité d'approvisionnement</t>
        </is>
      </c>
      <c r="E87" s="11" t="inlineStr">
        <is>
          <t>instrumentalisation de la crise énergétique</t>
        </is>
      </c>
      <c r="F87" s="10" t="inlineStr">
        <is>
          <t>Bloc</t>
        </is>
      </c>
      <c r="G87" s="10" t="inlineStr"/>
      <c r="H87" s="10" t="inlineStr"/>
      <c r="I87" s="10" t="n">
        <v>2</v>
      </c>
      <c r="J87" s="10" t="inlineStr"/>
      <c r="K87" s="10" t="inlineStr"/>
      <c r="L87" s="10" t="n">
        <v>1</v>
      </c>
      <c r="M87" s="11" t="inlineStr"/>
      <c r="N87" s="10" t="n">
        <v>100</v>
      </c>
      <c r="O87" s="11" t="inlineStr">
        <is>
          <t>Difficile à annuler</t>
        </is>
      </c>
      <c r="P87" s="10" t="inlineStr">
        <is>
          <t>Élevée</t>
        </is>
      </c>
      <c r="Q87" s="10" t="inlineStr">
        <is>
          <t>A72</t>
        </is>
      </c>
      <c r="R87" s="10" t="inlineStr"/>
      <c r="S87" s="11" t="inlineStr"/>
      <c r="T87" s="10" t="n">
        <v>5</v>
      </c>
      <c r="U87" s="11" t="inlineStr">
        <is>
          <t>Plafond −10 : des projets fossiles rouverts au nom de la souveraineté.</t>
        </is>
      </c>
      <c r="V87" s="11" t="inlineStr">
        <is>
          <t>Un pays qui ne peut plus se chauffer ni produire n'a plus de politique climatique du tout. Sécuriser l'approvisionnement est un préalable, pas une alternative.</t>
        </is>
      </c>
      <c r="W87" s="11" t="inlineStr">
        <is>
          <t>Relance des terminaux GNL européens après 2022 ; réouverture temporaire de centrales à charbon.</t>
        </is>
      </c>
      <c r="X87" s="11" t="inlineStr">
        <is>
          <t>La peur de la coupure a autorisé en quelques semaines, après 2022, ce qu'aucun débat n'aurait accordé en dix ans : terminaux GNL, réouvertures de centrales. Le renforcement du réseau et du stockage retire l'argument de la fragilité.</t>
        </is>
      </c>
      <c r="Y87" s="11" t="inlineStr">
        <is>
          <t>Noyau · Narratif — rouvre les projets fossiles au nom de la souveraineté. Lié aux cartes géopolitiques</t>
        </is>
      </c>
    </row>
    <row r="88">
      <c r="A88" s="10" t="inlineStr">
        <is>
          <t>T41</t>
        </is>
      </c>
      <c r="B88" s="10" t="inlineStr">
        <is>
          <t>Attentiste</t>
        </is>
      </c>
      <c r="C88" s="10" t="inlineStr">
        <is>
          <t>Narratif</t>
        </is>
      </c>
      <c r="D88" s="11" t="inlineStr">
        <is>
          <t>Écoute des territoires</t>
        </is>
      </c>
      <c r="E88" s="11" t="inlineStr">
        <is>
          <t>fracturation de la coalition</t>
        </is>
      </c>
      <c r="F88" s="10" t="inlineStr">
        <is>
          <t>Bloc</t>
        </is>
      </c>
      <c r="G88" s="10" t="inlineStr"/>
      <c r="H88" s="10" t="inlineStr"/>
      <c r="I88" s="10" t="n">
        <v>3</v>
      </c>
      <c r="J88" s="10" t="inlineStr"/>
      <c r="K88" s="10" t="inlineStr"/>
      <c r="L88" s="10" t="n">
        <v>1</v>
      </c>
      <c r="M88" s="11" t="inlineStr"/>
      <c r="N88" s="10" t="n">
        <v>100</v>
      </c>
      <c r="O88" s="11" t="inlineStr">
        <is>
          <t>Difficile à annuler</t>
        </is>
      </c>
      <c r="P88" s="10" t="inlineStr">
        <is>
          <t>Élevée</t>
        </is>
      </c>
      <c r="Q88" s="10" t="inlineStr">
        <is>
          <t>A60</t>
        </is>
      </c>
      <c r="R88" s="10" t="inlineStr"/>
      <c r="S88" s="11" t="inlineStr">
        <is>
          <t>Colère ciblée (avec T39)</t>
        </is>
      </c>
      <c r="T88" s="10" t="n">
        <v>5</v>
      </c>
      <c r="U88" s="11" t="inlineStr">
        <is>
          <t>Friction +17 et perçu −6. Effet doublé si le bloc a subi une mesure agricole ou nucléaire.</t>
        </is>
      </c>
      <c r="V88" s="11" t="inlineStr">
        <is>
          <t>Agriculteurs, automobilistes, ruraux, salariés d'un site industriel : ces gens subissent la transition sans l'avoir décidée. Porter leur voix est le rôle d'un représentant.</t>
        </is>
      </c>
      <c r="W88" s="11" t="inlineStr">
        <is>
          <t>Mobilisations agricoles européennes de 2024 ; Gilets jaunes de 2018.</t>
        </is>
      </c>
      <c r="X88" s="11" t="inlineStr">
        <is>
          <t>Détacher un groupe social coûte beaucoup moins cher que convaincre l'ensemble de la population — les mobilisations agricoles de 2024 et les Gilets jaunes de 2018 l'ont montré. Une coalition construite dès le départ sur l'emploi et le pouvoir d'achat offre peu de prise.</t>
        </is>
      </c>
      <c r="Y88" s="11" t="inlineStr">
        <is>
          <t>Pilier · Narratif — détache un groupe social de la coalition adverse (contre A60)</t>
        </is>
      </c>
    </row>
    <row r="89">
      <c r="A89" s="10" t="inlineStr">
        <is>
          <t>T43</t>
        </is>
      </c>
      <c r="B89" s="10" t="inlineStr">
        <is>
          <t>Attentiste</t>
        </is>
      </c>
      <c r="C89" s="10" t="inlineStr">
        <is>
          <t>Économique</t>
        </is>
      </c>
      <c r="D89" s="11" t="inlineStr">
        <is>
          <t>Investissement d'infrastructure</t>
        </is>
      </c>
      <c r="E89" s="11" t="inlineStr">
        <is>
          <t>verrouillage carbone</t>
        </is>
      </c>
      <c r="F89" s="10" t="inlineStr">
        <is>
          <t>Bloc</t>
        </is>
      </c>
      <c r="G89" s="10" t="inlineStr"/>
      <c r="H89" s="10" t="n">
        <v>5</v>
      </c>
      <c r="I89" s="10" t="inlineStr"/>
      <c r="J89" s="10" t="inlineStr"/>
      <c r="K89" s="10" t="inlineStr"/>
      <c r="L89" s="10" t="n">
        <v>1</v>
      </c>
      <c r="M89" s="11" t="inlineStr"/>
      <c r="N89" s="10" t="n">
        <v>100</v>
      </c>
      <c r="O89" s="11" t="inlineStr">
        <is>
          <t>Irréversible</t>
        </is>
      </c>
      <c r="P89" s="10" t="inlineStr">
        <is>
          <t>Élevée</t>
        </is>
      </c>
      <c r="Q89" s="10" t="inlineStr">
        <is>
          <t>A72</t>
        </is>
      </c>
      <c r="R89" s="10" t="inlineStr"/>
      <c r="S89" s="11" t="inlineStr">
        <is>
          <t>Béton et contrats (avec T44)</t>
        </is>
      </c>
      <c r="T89" s="10" t="n">
        <v>5</v>
      </c>
      <c r="U89" s="11" t="inlineStr">
        <is>
          <t>Plafond −22, irréversible. Contrainte −4.</t>
        </is>
      </c>
      <c r="V89" s="11" t="inlineStr">
        <is>
          <t>Un terminal, un gazoduc, une centrale se décident sur quarante ans. Sécuriser l'approvisionnement d'une région relève de la responsabilité élémentaire d'un État.</t>
        </is>
      </c>
      <c r="W89" s="11" t="inlineStr">
        <is>
          <t>Vague de terminaux GNL et de gazoducs lancés avant durcissement réglementaire depuis 2022.</t>
        </is>
      </c>
      <c r="X89" s="11" t="inlineStr">
        <is>
          <t>C'est le principal irréversible du camp : ce qui est coulé engage des décennies, quelles que soient les alternances. Le retrait des assureurs et des financeurs est le seul levier qui bloque un projet avant la coulée.</t>
        </is>
      </c>
      <c r="Y89" s="11" t="inlineStr">
        <is>
          <t>Pilier · Économique — verrouille 20 à 40 ans d'émissions. Le principal irréversible du camp</t>
        </is>
      </c>
    </row>
    <row r="90">
      <c r="A90" s="10" t="inlineStr">
        <is>
          <t>T44</t>
        </is>
      </c>
      <c r="B90" s="10" t="inlineStr">
        <is>
          <t>Attentiste</t>
        </is>
      </c>
      <c r="C90" s="10" t="inlineStr">
        <is>
          <t>Économique</t>
        </is>
      </c>
      <c r="D90" s="11" t="inlineStr">
        <is>
          <t>Contrat d'approvisionnement de long terme</t>
        </is>
      </c>
      <c r="E90" s="11" t="inlineStr">
        <is>
          <t>verrouillage contractuel</t>
        </is>
      </c>
      <c r="F90" s="10" t="inlineStr">
        <is>
          <t>Mondial</t>
        </is>
      </c>
      <c r="G90" s="10" t="inlineStr"/>
      <c r="H90" s="10" t="n">
        <v>4</v>
      </c>
      <c r="I90" s="10" t="inlineStr"/>
      <c r="J90" s="10" t="inlineStr"/>
      <c r="K90" s="10" t="inlineStr"/>
      <c r="L90" s="10" t="n">
        <v>2</v>
      </c>
      <c r="M90" s="11" t="inlineStr"/>
      <c r="N90" s="10" t="n">
        <v>100</v>
      </c>
      <c r="O90" s="11" t="inlineStr">
        <is>
          <t>Irréversible</t>
        </is>
      </c>
      <c r="P90" s="10" t="inlineStr">
        <is>
          <t>Élevée</t>
        </is>
      </c>
      <c r="Q90" s="10" t="inlineStr">
        <is>
          <t>A05</t>
        </is>
      </c>
      <c r="R90" s="10" t="inlineStr"/>
      <c r="S90" s="11" t="inlineStr">
        <is>
          <t>Béton et contrats (avec T43) · Le carbone déménage (avec T53)</t>
        </is>
      </c>
      <c r="T90" s="10" t="n">
        <v>4</v>
      </c>
      <c r="U90" s="11" t="inlineStr">
        <is>
          <t>Plafond −9 sur les trois blocs les plus contraints. Verrouillé par le droit privé.</t>
        </is>
      </c>
      <c r="V90" s="11" t="inlineStr">
        <is>
          <t>Un acheteur obtient un prix stable, un vendeur sécurise son investissement. C'est le fonctionnement normal d'un marché de matières premières.</t>
        </is>
      </c>
      <c r="W90" s="11" t="inlineStr">
        <is>
          <t>Contrats GNL de vingt à vingt-cinq ans signés en Europe et en Asie depuis 2022.</t>
        </is>
      </c>
      <c r="X90" s="11" t="inlineStr">
        <is>
          <t>Le droit privé verrouille ce que la réglementation ne peut plus atteindre : rompre coûte plus cher qu'exécuter. Les contrats GNL de vingt à vingt-cinq ans signés depuis 2022 courent au-delà des objectifs climatiques européens. Une date butoir annoncée très tôt dissuade la signature.</t>
        </is>
      </c>
      <c r="Y90" s="11" t="inlineStr">
        <is>
          <t>Noyau · Économique — verrouille par le droit privé ce que la réglementation n'atteint plus</t>
        </is>
      </c>
    </row>
    <row r="91">
      <c r="A91" s="10" t="inlineStr">
        <is>
          <t>T45</t>
        </is>
      </c>
      <c r="B91" s="10" t="inlineStr">
        <is>
          <t>Attentiste</t>
        </is>
      </c>
      <c r="C91" s="10" t="inlineStr">
        <is>
          <t>Économique</t>
        </is>
      </c>
      <c r="D91" s="11" t="inlineStr">
        <is>
          <t>Alerte sur l'emploi industriel</t>
        </is>
      </c>
      <c r="E91" s="11" t="inlineStr">
        <is>
          <t>chantage à la délocalisation</t>
        </is>
      </c>
      <c r="F91" s="10" t="inlineStr">
        <is>
          <t>Bloc</t>
        </is>
      </c>
      <c r="G91" s="10" t="inlineStr"/>
      <c r="H91" s="10" t="inlineStr"/>
      <c r="I91" s="10" t="n">
        <v>2</v>
      </c>
      <c r="J91" s="10" t="inlineStr"/>
      <c r="K91" s="10" t="inlineStr"/>
      <c r="L91" s="10" t="n">
        <v>1</v>
      </c>
      <c r="M91" s="11" t="inlineStr"/>
      <c r="N91" s="10" t="n">
        <v>100</v>
      </c>
      <c r="O91" s="11" t="inlineStr">
        <is>
          <t>Facile à annuler</t>
        </is>
      </c>
      <c r="P91" s="10" t="inlineStr">
        <is>
          <t>Élevée</t>
        </is>
      </c>
      <c r="Q91" s="10" t="inlineStr">
        <is>
          <t>A03</t>
        </is>
      </c>
      <c r="R91" s="10" t="inlineStr"/>
      <c r="S91" s="11" t="inlineStr"/>
      <c r="T91" s="10" t="n">
        <v>4</v>
      </c>
      <c r="U91" s="11" t="inlineStr">
        <is>
          <t>Friction +15 et contrainte −6. Sans effet si l'ajustement aux frontières protège le bloc.</t>
        </is>
      </c>
      <c r="V91" s="11" t="inlineStr">
        <is>
          <t>Un site qui ferme ne rouvre pas, et sa production repart là où la règle est plus souple — sans gain climatique. Le signaler avant la décision est une alerte, pas une menace.</t>
        </is>
      </c>
      <c r="W91" s="11" t="inlineStr">
        <is>
          <t>Menaces de fermeture de sites industriels lors de chaque débat sur le prix du carbone.</t>
        </is>
      </c>
      <c r="X91" s="11" t="inlineStr">
        <is>
          <t>L'argument est efficace en période électorale et souvent invoqué sans que la fermeture suive. L'ajustement carbone aux frontières supprime l'avantage du moins-disant et donc le fondement de l'alerte.</t>
        </is>
      </c>
      <c r="Y91" s="11" t="inlineStr">
        <is>
          <t>Noyau · Économique — convertit une mesure en menace territoriale. Niveau Découverte</t>
        </is>
      </c>
    </row>
    <row r="92">
      <c r="A92" s="10" t="inlineStr">
        <is>
          <t>T46</t>
        </is>
      </c>
      <c r="B92" s="10" t="inlineStr">
        <is>
          <t>Attentiste</t>
        </is>
      </c>
      <c r="C92" s="10" t="inlineStr">
        <is>
          <t>Économique</t>
        </is>
      </c>
      <c r="D92" s="11" t="inlineStr">
        <is>
          <t>Cession des actifs sales</t>
        </is>
      </c>
      <c r="E92" s="11" t="inlineStr">
        <is>
          <t>nettoyage de bilan</t>
        </is>
      </c>
      <c r="F92" s="10" t="inlineStr">
        <is>
          <t>Mondial</t>
        </is>
      </c>
      <c r="G92" s="10" t="inlineStr"/>
      <c r="H92" s="10" t="n">
        <v>2</v>
      </c>
      <c r="I92" s="10" t="inlineStr"/>
      <c r="J92" s="10" t="inlineStr"/>
      <c r="K92" s="10" t="inlineStr"/>
      <c r="L92" s="10" t="n">
        <v>2</v>
      </c>
      <c r="M92" s="11" t="inlineStr"/>
      <c r="N92" s="10" t="n">
        <v>100</v>
      </c>
      <c r="O92" s="11" t="inlineStr">
        <is>
          <t>Irréversible</t>
        </is>
      </c>
      <c r="P92" s="10" t="inlineStr">
        <is>
          <t>Élevée</t>
        </is>
      </c>
      <c r="Q92" s="10" t="inlineStr">
        <is>
          <t>A73</t>
        </is>
      </c>
      <c r="R92" s="10" t="inlineStr"/>
      <c r="S92" s="11" t="inlineStr"/>
      <c r="T92" s="10" t="n">
        <v>4</v>
      </c>
      <c r="U92" s="11" t="inlineStr">
        <is>
          <t>Perçu +6 partout — le bilan s'améliore vraiment — et contrainte −4 sur les blocs riches. Les émissions, elles, ne bougent pas.</t>
        </is>
      </c>
      <c r="V92" s="11" t="inlineStr">
        <is>
          <t>Vendre les actifs les plus émetteurs à des acteurs non cotés fait disparaître les émissions du périmètre déclaré. Elles continuent, hors reporting, souvent avec moins de contraintes qu'avant.</t>
        </is>
      </c>
      <c r="W92" s="11" t="inlineStr">
        <is>
          <t>Cessions d'actifs pétroliers et charbonniers des majors vers des sociétés privées non soumises au reporting extra-financier, années 2020.</t>
        </is>
      </c>
      <c r="X92" s="11" t="inlineStr">
        <is>
          <t>C'est le seul levier du camp qui améliore le soutien perçu de l'adversaire. Il achète une apparence de progrès au prix d'une perte de contrôle réelle.</t>
        </is>
      </c>
      <c r="Y92" s="11" t="inlineStr">
        <is>
          <t>Extension · le bilan se nettoie, les émissions continuent. Très instructif, à réintégrer tôt</t>
        </is>
      </c>
    </row>
    <row r="93">
      <c r="A93" s="10" t="inlineStr">
        <is>
          <t>T48</t>
        </is>
      </c>
      <c r="B93" s="10" t="inlineStr">
        <is>
          <t>Attentiste</t>
        </is>
      </c>
      <c r="C93" s="10" t="inlineStr">
        <is>
          <t>Économique</t>
        </is>
      </c>
      <c r="D93" s="11" t="inlineStr">
        <is>
          <t>Retrait public d'un engagement</t>
        </is>
      </c>
      <c r="E93" s="11" t="inlineStr">
        <is>
          <t>réalisme assumé</t>
        </is>
      </c>
      <c r="F93" s="10" t="inlineStr">
        <is>
          <t>Mondial</t>
        </is>
      </c>
      <c r="G93" s="10" t="inlineStr"/>
      <c r="H93" s="10" t="n">
        <v>2</v>
      </c>
      <c r="I93" s="10" t="inlineStr"/>
      <c r="J93" s="10" t="inlineStr"/>
      <c r="K93" s="10" t="inlineStr"/>
      <c r="L93" s="10" t="n">
        <v>3</v>
      </c>
      <c r="M93" s="11" t="inlineStr">
        <is>
          <t>au moins trois mesures adverses en vigueur — on ne se retire que d'un engagement visible</t>
        </is>
      </c>
      <c r="N93" s="10" t="n">
        <v>100</v>
      </c>
      <c r="O93" s="11" t="inlineStr">
        <is>
          <t>Facile à annuler</t>
        </is>
      </c>
      <c r="P93" s="10" t="inlineStr">
        <is>
          <t>Élevée</t>
        </is>
      </c>
      <c r="Q93" s="10" t="inlineStr">
        <is>
          <t>A15</t>
        </is>
      </c>
      <c r="R93" s="10" t="inlineStr"/>
      <c r="S93" s="11" t="inlineStr">
        <is>
          <t>La cascade (avec T49)</t>
        </is>
      </c>
      <c r="T93" s="10" t="n">
        <v>4</v>
      </c>
      <c r="U93" s="11" t="inlineStr">
        <is>
          <t>Crédibilité du camp actif −10 et perçu −4 partout. Porté à −16 et −6 si une alliance a déjà été quittée.</t>
        </is>
      </c>
      <c r="V93" s="11" t="inlineStr">
        <is>
          <t>Abandonner un objectif annoncé coûte peu si un concurrent le fait en même temps : la révision devient du réalisme, et c'est celui qui tient son engagement qui paraît idéologue.</t>
        </is>
      </c>
      <c r="W93" s="11" t="inlineStr">
        <is>
          <t>Révisions à la baisse des objectifs renouvelables annoncées par plusieurs majors pétrolières entre 2023 et 2025.</t>
        </is>
      </c>
      <c r="X93" s="11" t="inlineStr">
        <is>
          <t>Le retrait est public : il révèle que l'engagement n'était pas contraignant, ce qui affaiblit aussi tous les engagements du même type — y compris ceux du camp attentiste.</t>
        </is>
      </c>
      <c r="Y93" s="11" t="inlineStr">
        <is>
          <t>Extension · cascade avec T49 — les deux ensemble ou aucun</t>
        </is>
      </c>
    </row>
    <row r="94">
      <c r="A94" s="10" t="inlineStr">
        <is>
          <t>T49</t>
        </is>
      </c>
      <c r="B94" s="10" t="inlineStr">
        <is>
          <t>Attentiste</t>
        </is>
      </c>
      <c r="C94" s="10" t="inlineStr">
        <is>
          <t>International</t>
        </is>
      </c>
      <c r="D94" s="11" t="inlineStr">
        <is>
          <t>Sortie d'une alliance climatique</t>
        </is>
      </c>
      <c r="E94" s="11" t="inlineStr">
        <is>
          <t>reprendre sa liberté</t>
        </is>
      </c>
      <c r="F94" s="10" t="inlineStr">
        <is>
          <t>Mondial</t>
        </is>
      </c>
      <c r="G94" s="10" t="inlineStr"/>
      <c r="H94" s="10" t="n">
        <v>3</v>
      </c>
      <c r="I94" s="10" t="inlineStr"/>
      <c r="J94" s="10" t="inlineStr"/>
      <c r="K94" s="10" t="inlineStr"/>
      <c r="L94" s="10" t="n">
        <v>3</v>
      </c>
      <c r="M94" s="11" t="inlineStr">
        <is>
          <t>un engagement collectif dont sortir</t>
        </is>
      </c>
      <c r="N94" s="10" t="n">
        <v>78</v>
      </c>
      <c r="O94" s="11" t="inlineStr">
        <is>
          <t>Difficile à annuler</t>
        </is>
      </c>
      <c r="P94" s="10" t="inlineStr">
        <is>
          <t>Élevée</t>
        </is>
      </c>
      <c r="Q94" s="10" t="inlineStr">
        <is>
          <t>A65</t>
        </is>
      </c>
      <c r="R94" s="10" t="inlineStr"/>
      <c r="S94" s="11" t="inlineStr">
        <is>
          <t>La cascade (avec T48)</t>
        </is>
      </c>
      <c r="T94" s="10" t="n">
        <v>4</v>
      </c>
      <c r="U94" s="11" t="inlineStr">
        <is>
          <t>Le mécanisme de révision s'arrête, et la contrainte retombe de 3 sur tous les blocs engagés.</t>
        </is>
      </c>
      <c r="V94" s="11" t="inlineStr">
        <is>
          <t>Un engagement collectif ne tient que par le nombre. Le premier départ ne coûte presque rien à celui qui part, et il rend le suivant gratuit.</t>
        </is>
      </c>
      <c r="W94" s="11" t="inlineStr">
        <is>
          <t>Départs successifs d'établissements financiers des alliances net zéro sectorielles, 2024-2025.</t>
        </is>
      </c>
      <c r="X94" s="11" t="inlineStr">
        <is>
          <t>Il faut un engagement collectif à quitter. Contre un protocole déjà entré en vigueur, la sortie ne défait pas ce qui a été appliqué.</t>
        </is>
      </c>
      <c r="Y94" s="11" t="inlineStr">
        <is>
          <t>Extension · cascade avec T48</t>
        </is>
      </c>
    </row>
    <row r="95">
      <c r="A95" s="10" t="inlineStr">
        <is>
          <t>T50</t>
        </is>
      </c>
      <c r="B95" s="10" t="inlineStr">
        <is>
          <t>Attentiste</t>
        </is>
      </c>
      <c r="C95" s="10" t="inlineStr">
        <is>
          <t>Économique</t>
        </is>
      </c>
      <c r="D95" s="11" t="inlineStr">
        <is>
          <t>Optimisation des aides publiques</t>
        </is>
      </c>
      <c r="E95" s="11" t="inlineStr">
        <is>
          <t>capture de la subvention</t>
        </is>
      </c>
      <c r="F95" s="10" t="inlineStr">
        <is>
          <t>Bloc</t>
        </is>
      </c>
      <c r="G95" s="10" t="inlineStr"/>
      <c r="H95" s="10" t="n">
        <v>2</v>
      </c>
      <c r="I95" s="10" t="inlineStr"/>
      <c r="J95" s="10" t="inlineStr"/>
      <c r="K95" s="10" t="inlineStr"/>
      <c r="L95" s="10" t="n">
        <v>2</v>
      </c>
      <c r="M95" s="11" t="inlineStr">
        <is>
          <t>des aides publiques déjà versées</t>
        </is>
      </c>
      <c r="N95" s="10" t="n">
        <v>70</v>
      </c>
      <c r="O95" s="11" t="inlineStr">
        <is>
          <t>Difficile à annuler</t>
        </is>
      </c>
      <c r="P95" s="10" t="inlineStr">
        <is>
          <t>Moyenne</t>
        </is>
      </c>
      <c r="Q95" s="10" t="inlineStr">
        <is>
          <t>A63</t>
        </is>
      </c>
      <c r="R95" s="10" t="inlineStr"/>
      <c r="S95" s="11" t="inlineStr"/>
      <c r="T95" s="10" t="n">
        <v>4</v>
      </c>
      <c r="U95" s="11" t="inlineStr">
        <is>
          <t>Contrainte −11 si le bloc a reçu une politique industrielle verte. Sans effet sinon, ni si une institution de suivi existe.</t>
        </is>
      </c>
      <c r="V95" s="11" t="inlineStr">
        <is>
          <t>Une aide publique existe pour être utilisée. Une entreprise qui la mobilise dans les règles fait son travail ; c'est au dispositif de fixer ses conditions.</t>
        </is>
      </c>
      <c r="W95" s="11" t="inlineStr">
        <is>
          <t>Aides à la transition perçues sans réduction d'émissions vérifiée, dans plusieurs dispositifs nationaux.</t>
        </is>
      </c>
      <c r="X95" s="11" t="inlineStr">
        <is>
          <t>Le levier retourne la politique industrielle adverse contre son émetteur : l'argent est encaissé, la trajectoire ne bouge pas. Une institution indépendante de suivi rend l'écart visible dès le rapport suivant.</t>
        </is>
      </c>
      <c r="Y95" s="11" t="inlineStr">
        <is>
          <t>Noyau · Économique — PROMU : détourne A19 contre son émetteur. Encaisser l'aide sans changer de trajectoire</t>
        </is>
      </c>
    </row>
    <row r="96">
      <c r="A96" s="10" t="inlineStr">
        <is>
          <t>T51</t>
        </is>
      </c>
      <c r="B96" s="10" t="inlineStr">
        <is>
          <t>Attentiste</t>
        </is>
      </c>
      <c r="C96" s="10" t="inlineStr">
        <is>
          <t>Économique</t>
        </is>
      </c>
      <c r="D96" s="11" t="inlineStr">
        <is>
          <t>Neutralité par compensation</t>
        </is>
      </c>
      <c r="E96" s="11" t="inlineStr">
        <is>
          <t>compensation au lieu de réduction</t>
        </is>
      </c>
      <c r="F96" s="10" t="inlineStr">
        <is>
          <t>Mondial</t>
        </is>
      </c>
      <c r="G96" s="10" t="inlineStr"/>
      <c r="H96" s="10" t="n">
        <v>1</v>
      </c>
      <c r="I96" s="10" t="inlineStr"/>
      <c r="J96" s="10" t="inlineStr"/>
      <c r="K96" s="10" t="inlineStr"/>
      <c r="L96" s="10" t="n">
        <v>1</v>
      </c>
      <c r="M96" s="11" t="inlineStr"/>
      <c r="N96" s="10" t="n">
        <v>100</v>
      </c>
      <c r="O96" s="11" t="inlineStr">
        <is>
          <t>Facile à annuler</t>
        </is>
      </c>
      <c r="P96" s="10" t="inlineStr">
        <is>
          <t>Faible</t>
        </is>
      </c>
      <c r="Q96" s="10" t="inlineStr">
        <is>
          <t>A15</t>
        </is>
      </c>
      <c r="R96" s="10" t="inlineStr"/>
      <c r="S96" s="11" t="inlineStr"/>
      <c r="T96" s="10" t="n">
        <v>4</v>
      </c>
      <c r="U96" s="11" t="inlineStr">
        <is>
          <t>Perçu −6 partout : l'effort paraît fait alors qu'il ne l'est pas.</t>
        </is>
      </c>
      <c r="V96" s="11" t="inlineStr">
        <is>
          <t>Une tonne évitée ailleurs vaut climatiquement une tonne évitée ici, et coûte souvent dix fois moins. Financer la réduction là où elle est la moins chère est rationnel.</t>
        </is>
      </c>
      <c r="W96" s="11" t="inlineStr">
        <is>
          <t>Effondrement du marché volontaire du carbone : valeur en baisse de plus de 60 % depuis 2022.</t>
        </is>
      </c>
      <c r="X96" s="11" t="inlineStr">
        <is>
          <t>L'équivalence suppose que la réduction ait réellement lieu et soit additionnelle, ce que la majorité des projets examinés ne démontre pas. Le marché volontaire a perdu plus de 60 % de sa valeur depuis 2022. Le reporting obligatoire distingue réduction réelle et crédit acheté.</t>
        </is>
      </c>
      <c r="Y96" s="11" t="inlineStr">
        <is>
          <t>Noyau · Économique — achète des crédits au lieu de réduire. Passerelle vers le piège P01</t>
        </is>
      </c>
    </row>
    <row r="97">
      <c r="A97" s="10" t="inlineStr">
        <is>
          <t>T52</t>
        </is>
      </c>
      <c r="B97" s="10" t="inlineStr">
        <is>
          <t>Attentiste</t>
        </is>
      </c>
      <c r="C97" s="10" t="inlineStr">
        <is>
          <t>Économique</t>
        </is>
      </c>
      <c r="D97" s="11" t="inlineStr">
        <is>
          <t>Neutralité technologique</t>
        </is>
      </c>
      <c r="E97" s="11" t="inlineStr">
        <is>
          <t>exemption technologique</t>
        </is>
      </c>
      <c r="F97" s="10" t="inlineStr">
        <is>
          <t>Bloc</t>
        </is>
      </c>
      <c r="G97" s="10" t="inlineStr"/>
      <c r="H97" s="10" t="n">
        <v>3</v>
      </c>
      <c r="I97" s="10" t="inlineStr"/>
      <c r="J97" s="10" t="inlineStr"/>
      <c r="K97" s="10" t="inlineStr"/>
      <c r="L97" s="10" t="n">
        <v>2</v>
      </c>
      <c r="M97" s="11" t="inlineStr">
        <is>
          <t>une norme qui désigne une technologie, à contester au nom de la neutralité</t>
        </is>
      </c>
      <c r="N97" s="10" t="n">
        <v>72</v>
      </c>
      <c r="O97" s="11" t="inlineStr">
        <is>
          <t>Difficile à annuler</t>
        </is>
      </c>
      <c r="P97" s="10" t="inlineStr">
        <is>
          <t>Élevée</t>
        </is>
      </c>
      <c r="Q97" s="10" t="inlineStr">
        <is>
          <t>A04</t>
        </is>
      </c>
      <c r="R97" s="10" t="inlineStr"/>
      <c r="S97" s="11" t="inlineStr"/>
      <c r="T97" s="10" t="n">
        <v>5</v>
      </c>
      <c r="U97" s="11" t="inlineStr">
        <is>
          <t>Contrainte −13 et annule un effet différé en attente sur le bloc.</t>
        </is>
      </c>
      <c r="V97" s="11" t="inlineStr">
        <is>
          <t>Le législateur fixe l'objectif, pas la solution technique. Interdire une technologie plutôt que des émissions, c'est faire un pari industriel à la place du marché.</t>
        </is>
      </c>
      <c r="W97" s="11" t="inlineStr">
        <is>
          <t>Exemption e-fuels obtenue en 2023 sur le règlement européen de fin du thermique en 2035.</t>
        </is>
      </c>
      <c r="X97" s="11" t="inlineStr">
        <is>
          <t>L'exemption e-fuels obtenue en 2023 sur le règlement européen de fin du thermique porte sur une filière dont le coût et le rendement restent prohibitifs à l'échelle. Le principe est défendable, son usage ici vide le texte. Sans effet sur un bloc verrouillé.</t>
        </is>
      </c>
      <c r="Y97" s="11" t="inlineStr">
        <is>
          <t>Noyau · Économique — inscrit une technologie non viable dans le texte pour en vider l'effet (e-fuels, 2023)</t>
        </is>
      </c>
    </row>
    <row r="98">
      <c r="A98" s="10" t="inlineStr">
        <is>
          <t>T53</t>
        </is>
      </c>
      <c r="B98" s="10" t="inlineStr">
        <is>
          <t>Attentiste</t>
        </is>
      </c>
      <c r="C98" s="10" t="inlineStr">
        <is>
          <t>International</t>
        </is>
      </c>
      <c r="D98" s="11" t="inlineStr">
        <is>
          <t>Arbitrage de juridiction</t>
        </is>
      </c>
      <c r="E98" s="11" t="inlineStr">
        <is>
          <t>délocalisation</t>
        </is>
      </c>
      <c r="F98" s="10" t="inlineStr">
        <is>
          <t>Mondial</t>
        </is>
      </c>
      <c r="G98" s="10" t="inlineStr"/>
      <c r="H98" s="10" t="n">
        <v>3</v>
      </c>
      <c r="I98" s="10" t="inlineStr"/>
      <c r="J98" s="10" t="inlineStr"/>
      <c r="K98" s="10" t="inlineStr"/>
      <c r="L98" s="10" t="n">
        <v>2</v>
      </c>
      <c r="M98" s="11" t="inlineStr">
        <is>
          <t>un bloc contraint à 20 — sans écart de contrainte, il n'y a nulle part où aller</t>
        </is>
      </c>
      <c r="N98" s="10" t="n">
        <v>100</v>
      </c>
      <c r="O98" s="11" t="inlineStr">
        <is>
          <t>Irréversible</t>
        </is>
      </c>
      <c r="P98" s="10" t="inlineStr">
        <is>
          <t>Élevée</t>
        </is>
      </c>
      <c r="Q98" s="10" t="inlineStr">
        <is>
          <t>A03</t>
        </is>
      </c>
      <c r="R98" s="10" t="inlineStr"/>
      <c r="S98" s="11" t="inlineStr">
        <is>
          <t>Le carbone déménage (avec T44)</t>
        </is>
      </c>
      <c r="T98" s="10" t="n">
        <v>3</v>
      </c>
      <c r="U98" s="11" t="inlineStr">
        <is>
          <t>Déplace un dixième des émissions du bloc le plus contraint vers le moins contraint. Le total ne baisse pas — il change d'adresse, et de rythme. Sans effet si le bloc d'arrivée est protégé par l'ajustement aux frontières.</t>
        </is>
      </c>
      <c r="V98" s="11" t="inlineStr">
        <is>
          <t>La production intensive en énergie va où la contrainte est la plus faible. Le bloc vertueux voit ses émissions baisser et affiche un résultat ; le monde n'a rien gagné, et il a perdu la contrainte qui s'y appliquait.</t>
        </is>
      </c>
      <c r="W98" s="11" t="inlineStr">
        <is>
          <t>Fuite de carbone documentée dans les secteurs intensifs en énergie, argument central des demandes d'exemption à toute tarification nationale.</t>
        </is>
      </c>
      <c r="X98" s="11" t="inlineStr">
        <is>
          <t>C'est le seul levier du jeu qui ne détruit aucune mesure : il les contourne. L'ajustement carbone aux frontières est le seul contre, et il doit être posé sur le bloc d'arrivée, pas sur celui de départ.</t>
        </is>
      </c>
      <c r="Y98" s="11" t="inlineStr">
        <is>
          <t>Extension · le carbone change d'adresse. Contré par A03, déjà dans le noyau</t>
        </is>
      </c>
    </row>
    <row r="99">
      <c r="A99" s="10" t="inlineStr">
        <is>
          <t>T60</t>
        </is>
      </c>
      <c r="B99" s="10" t="inlineStr">
        <is>
          <t>Attentiste</t>
        </is>
      </c>
      <c r="C99" s="10" t="inlineStr">
        <is>
          <t>Électoral</t>
        </is>
      </c>
      <c r="D99" s="11" t="inlineStr">
        <is>
          <t>Référendum sur une mesure climatique</t>
        </is>
      </c>
      <c r="E99" s="11" t="inlineStr">
        <is>
          <t>laisser le peuple trancher</t>
        </is>
      </c>
      <c r="F99" s="10" t="inlineStr">
        <is>
          <t>Bloc</t>
        </is>
      </c>
      <c r="G99" s="10" t="inlineStr"/>
      <c r="H99" s="10" t="n">
        <v>3</v>
      </c>
      <c r="I99" s="10" t="inlineStr"/>
      <c r="J99" s="10" t="n">
        <v>2</v>
      </c>
      <c r="K99" s="10" t="inlineStr"/>
      <c r="L99" s="10" t="n">
        <v>2</v>
      </c>
      <c r="M99" s="11" t="inlineStr">
        <is>
          <t>au moins une mesure adverse en vigueur — un référendum a besoin d'un texte à soumettre</t>
        </is>
      </c>
      <c r="N99" s="10" t="n">
        <v>70</v>
      </c>
      <c r="O99" s="11" t="inlineStr">
        <is>
          <t>Irréversible</t>
        </is>
      </c>
      <c r="P99" s="10" t="inlineStr">
        <is>
          <t>Élevée</t>
        </is>
      </c>
      <c r="Q99" s="10" t="inlineStr">
        <is>
          <t>A60</t>
        </is>
      </c>
      <c r="R99" s="10" t="inlineStr"/>
      <c r="S99" s="11" t="inlineStr">
        <is>
          <t>La rue et l'urne (avec T61)</t>
        </is>
      </c>
      <c r="T99" s="8" t="inlineStr"/>
      <c r="U99" s="11" t="inlineStr">
        <is>
          <t>Soumet la dernière mesure du bloc au vote, jugé dans deux tours : si le perçu est alors sous 50, elle est annulée ; s'il est au-dessus, le bloc devient protégé.</t>
        </is>
      </c>
      <c r="V99" s="11" t="inlineStr">
        <is>
          <t>Un scrutin dédié détache la mesure du bilan d'un gouvernement et la met en concurrence avec le pouvoir d'achat. Le camp qui la défend doit gagner deux fois : l'élection, puis le référendum.</t>
        </is>
      </c>
      <c r="W99" s="11" t="inlineStr">
        <is>
          <t>Loi CO₂ suisse rejetée à 51,6 % en juin 2021. Initiatives 732 (2016) et 1631 (2018) sur le prix du carbone dans l'État de Washington, rejetées toutes deux.</t>
        </is>
      </c>
      <c r="X99" s="11" t="inlineStr">
        <is>
          <t>Le pari est symétrique : un référendum gagné rend la mesure très difficile à défaire ensuite. Ne se joue pas là où le perçu est déjà haut.</t>
        </is>
      </c>
      <c r="Y99" s="11" t="inlineStr"/>
    </row>
    <row r="100">
      <c r="A100" s="10" t="inlineStr">
        <is>
          <t>T61</t>
        </is>
      </c>
      <c r="B100" s="10" t="inlineStr">
        <is>
          <t>Attentiste</t>
        </is>
      </c>
      <c r="C100" s="10" t="inlineStr">
        <is>
          <t>Électoral</t>
        </is>
      </c>
      <c r="D100" s="11" t="inlineStr">
        <is>
          <t>Coalition du coût de la vie</t>
        </is>
      </c>
      <c r="E100" s="11" t="inlineStr">
        <is>
          <t>front du pouvoir d'achat</t>
        </is>
      </c>
      <c r="F100" s="10" t="inlineStr">
        <is>
          <t>Bloc</t>
        </is>
      </c>
      <c r="G100" s="10" t="inlineStr"/>
      <c r="H100" s="10" t="n">
        <v>2</v>
      </c>
      <c r="I100" s="10" t="inlineStr"/>
      <c r="J100" s="10" t="inlineStr"/>
      <c r="K100" s="10" t="inlineStr"/>
      <c r="L100" s="10" t="n">
        <v>1</v>
      </c>
      <c r="M100" s="11" t="inlineStr"/>
      <c r="N100" s="10" t="n">
        <v>100</v>
      </c>
      <c r="O100" s="11" t="inlineStr">
        <is>
          <t>Facile à annuler</t>
        </is>
      </c>
      <c r="P100" s="10" t="inlineStr">
        <is>
          <t>Moyenne</t>
        </is>
      </c>
      <c r="Q100" s="10" t="inlineStr">
        <is>
          <t>A31</t>
        </is>
      </c>
      <c r="R100" s="10" t="inlineStr"/>
      <c r="S100" s="11" t="inlineStr">
        <is>
          <t>La rue et l'urne (avec T60)</t>
        </is>
      </c>
      <c r="T100" s="8" t="inlineStr"/>
      <c r="U100" s="11" t="inlineStr">
        <is>
          <t>Friction +16 et perçu −7. Effet réduit de moitié si la redistribution est installée sur le bloc.</t>
        </is>
      </c>
      <c r="V100" s="11" t="inlineStr">
        <is>
          <t>Rassembler sous un même mot d'ordre des intérêts qui n'ont rien en commun sauf de payer la mesure : automobilistes, artisans, agriculteurs, ménages chauffés au fioul.</t>
        </is>
      </c>
      <c r="W100" s="11" t="inlineStr">
        <is>
          <t>Gilets jaunes, novembre 2018 : la taxe carbone française est gelée en trois semaines. Campagne « Axe the Tax » australienne, 2013-2014.</t>
        </is>
      </c>
      <c r="X100" s="11" t="inlineStr">
        <is>
          <t>La coalition se défait dès que la compensation devient visible et datée : c'est le seul contre-feu qui marche.</t>
        </is>
      </c>
      <c r="Y100" s="11" t="inlineStr"/>
    </row>
    <row r="101">
      <c r="A101" s="10" t="inlineStr">
        <is>
          <t>T62</t>
        </is>
      </c>
      <c r="B101" s="10" t="inlineStr">
        <is>
          <t>Attentiste</t>
        </is>
      </c>
      <c r="C101" s="10" t="inlineStr">
        <is>
          <t>Électoral</t>
        </is>
      </c>
      <c r="D101" s="11" t="inlineStr">
        <is>
          <t>Financement de campagne</t>
        </is>
      </c>
      <c r="E101" s="11" t="inlineStr">
        <is>
          <t>achat d'un scrutin</t>
        </is>
      </c>
      <c r="F101" s="10" t="inlineStr">
        <is>
          <t>Bloc</t>
        </is>
      </c>
      <c r="G101" s="10" t="inlineStr"/>
      <c r="H101" s="10" t="n">
        <v>4</v>
      </c>
      <c r="I101" s="10" t="inlineStr"/>
      <c r="J101" s="10" t="inlineStr"/>
      <c r="K101" s="10" t="inlineStr"/>
      <c r="L101" s="10" t="n">
        <v>2</v>
      </c>
      <c r="M101" s="11" t="inlineStr"/>
      <c r="N101" s="10" t="n">
        <v>64</v>
      </c>
      <c r="O101" s="11" t="inlineStr">
        <is>
          <t>Difficile à annuler</t>
        </is>
      </c>
      <c r="P101" s="10" t="inlineStr">
        <is>
          <t>Élevée</t>
        </is>
      </c>
      <c r="Q101" s="10" t="inlineStr">
        <is>
          <t>A59</t>
        </is>
      </c>
      <c r="R101" s="10" t="inlineStr"/>
      <c r="S101" s="11" t="inlineStr">
        <is>
          <t>La campagne et le mandat (avec T63)</t>
        </is>
      </c>
      <c r="T101" s="10" t="n">
        <v>4</v>
      </c>
      <c r="U101" s="11" t="inlineStr">
        <is>
          <t>Le prochain scrutin du bloc est perdu d'avance pour le camp actif : il bascule quel que soit le soutien perçu. Sans effet hors démocratie électorale.</t>
        </is>
      </c>
      <c r="V101" s="11" t="inlineStr">
        <is>
          <t>On ne convainc pas l'électeur, on sature le marché publicitaire des six semaines qui précèdent le vote. Le perçu réel du bloc devient sans objet.</t>
        </is>
      </c>
      <c r="W101" s="11" t="inlineStr">
        <is>
          <t>Citizens United v. FEC (2010) : plafonds de dépenses politiques indépendantes levés aux États-Unis. Dépenses déclarées du secteur pétrolier et gazier sur les cycles électoraux fédéraux suivants.</t>
        </is>
      </c>
      <c r="X101" s="11" t="inlineStr">
        <is>
          <t>Un seul scrutin, et seulement en démocratie électorale. La dépense n'achète pas le soutien réel, qui continue de monter dessous.</t>
        </is>
      </c>
      <c r="Y101" s="11" t="inlineStr">
        <is>
          <t>Extension · dépend du régime du bloc — à réintégrer si les régimes politiques sont différenciés</t>
        </is>
      </c>
    </row>
    <row r="102">
      <c r="A102" s="10" t="inlineStr">
        <is>
          <t>T63</t>
        </is>
      </c>
      <c r="B102" s="10" t="inlineStr">
        <is>
          <t>Attentiste</t>
        </is>
      </c>
      <c r="C102" s="10" t="inlineStr">
        <is>
          <t>Électoral</t>
        </is>
      </c>
      <c r="D102" s="11" t="inlineStr">
        <is>
          <t>Candidat de rupture</t>
        </is>
      </c>
      <c r="E102" s="11" t="inlineStr">
        <is>
          <t>tout défaire</t>
        </is>
      </c>
      <c r="F102" s="10" t="inlineStr">
        <is>
          <t>Mondial</t>
        </is>
      </c>
      <c r="G102" s="10" t="inlineStr"/>
      <c r="H102" s="10" t="n">
        <v>5</v>
      </c>
      <c r="I102" s="10" t="inlineStr"/>
      <c r="J102" s="10" t="inlineStr"/>
      <c r="K102" s="10" t="inlineStr"/>
      <c r="L102" s="10" t="n">
        <v>3</v>
      </c>
      <c r="M102" s="11" t="inlineStr">
        <is>
          <t>un bloc démocratique dont le soutien perçu est tombé sous 40 — le levier encaisse le mécontentement, il ne le crée pas</t>
        </is>
      </c>
      <c r="N102" s="10" t="n">
        <v>58</v>
      </c>
      <c r="O102" s="11" t="inlineStr">
        <is>
          <t>Difficile à annuler</t>
        </is>
      </c>
      <c r="P102" s="10" t="inlineStr">
        <is>
          <t>Moyenne</t>
        </is>
      </c>
      <c r="Q102" s="10" t="inlineStr">
        <is>
          <t>A61</t>
        </is>
      </c>
      <c r="R102" s="10" t="inlineStr"/>
      <c r="S102" s="11" t="inlineStr">
        <is>
          <t>La campagne et le mandat (avec T62)</t>
        </is>
      </c>
      <c r="T102" s="8" t="inlineStr"/>
      <c r="U102" s="11" t="inlineStr">
        <is>
          <t>Sur le bloc démocratique au soutien perçu le plus bas : contrainte −10, friction −12, et le camp actif ne peut plus y jouer pendant deux tours.</t>
        </is>
      </c>
      <c r="V102" s="11" t="inlineStr">
        <is>
          <t>Un mandat obtenu sur la promesse explicite de défaire. L'annulation n'est plus une manœuvre : elle est le programme, et elle est légitime.</t>
        </is>
      </c>
      <c r="W102" s="11" t="inlineStr">
        <is>
          <t>Abrogation de la taxe carbone australienne en juillet 2014. Retraits américains de l'Accord de Paris en 2017 puis en 2025.</t>
        </is>
      </c>
      <c r="X102" s="11" t="inlineStr">
        <is>
          <t>Cher, et il faut un bloc déjà retourné : le levier ne crée pas le mécontentement, il l'encaisse.</t>
        </is>
      </c>
      <c r="Y102" s="11" t="inlineStr"/>
    </row>
    <row r="103">
      <c r="A103" s="10" t="inlineStr">
        <is>
          <t>T64</t>
        </is>
      </c>
      <c r="B103" s="10" t="inlineStr">
        <is>
          <t>Attentiste</t>
        </is>
      </c>
      <c r="C103" s="10" t="inlineStr">
        <is>
          <t>International</t>
        </is>
      </c>
      <c r="D103" s="11" t="inlineStr">
        <is>
          <t>Blocage du consensus</t>
        </is>
      </c>
      <c r="E103" s="11" t="inlineStr">
        <is>
          <t>veto de procédure</t>
        </is>
      </c>
      <c r="F103" s="10" t="inlineStr">
        <is>
          <t>Mondial</t>
        </is>
      </c>
      <c r="G103" s="10" t="inlineStr"/>
      <c r="H103" s="10" t="n">
        <v>3</v>
      </c>
      <c r="I103" s="10" t="inlineStr"/>
      <c r="J103" s="10" t="inlineStr"/>
      <c r="K103" s="10" t="inlineStr"/>
      <c r="L103" s="10" t="n">
        <v>2</v>
      </c>
      <c r="M103" s="11" t="inlineStr"/>
      <c r="N103" s="10" t="n">
        <v>100</v>
      </c>
      <c r="O103" s="11" t="inlineStr">
        <is>
          <t>Difficile à annuler</t>
        </is>
      </c>
      <c r="P103" s="10" t="inlineStr">
        <is>
          <t>Élevée</t>
        </is>
      </c>
      <c r="Q103" s="10" t="inlineStr">
        <is>
          <t>A65</t>
        </is>
      </c>
      <c r="R103" s="10" t="inlineStr"/>
      <c r="S103" s="11" t="inlineStr">
        <is>
          <t>Le verrou international (avec T66)</t>
        </is>
      </c>
      <c r="T103" s="8" t="inlineStr"/>
      <c r="U103" s="11" t="inlineStr">
        <is>
          <t>Les sommets internationaux restent sans effet pendant trois tours, et tous les effets différés en cours sont retardés d'un tour.</t>
        </is>
      </c>
      <c r="V103" s="11" t="inlineStr">
        <is>
          <t>Aucun vote : il suffit qu'un État s'oppose pour que le texte tombe au niveau du plus petit dénominateur. La procédure fait le travail de l'argument.</t>
        </is>
      </c>
      <c r="W103" s="11" t="inlineStr">
        <is>
          <t>Règle du consensus de la CCNUCC, jamais formellement adoptée mais appliquée depuis 1995. Sortie des fossiles écartée du texte final à répétition, COP28 puis COP29.</t>
        </is>
      </c>
      <c r="X103" s="11" t="inlineStr">
        <is>
          <t>Rien n'est annulé, tout est reporté. Contre un mécanisme à cliquet déjà installé, l'effet est nul.</t>
        </is>
      </c>
      <c r="Y103" s="11" t="inlineStr"/>
    </row>
    <row r="104">
      <c r="A104" s="10" t="inlineStr">
        <is>
          <t>T65</t>
        </is>
      </c>
      <c r="B104" s="10" t="inlineStr">
        <is>
          <t>Attentiste</t>
        </is>
      </c>
      <c r="C104" s="10" t="inlineStr">
        <is>
          <t>International</t>
        </is>
      </c>
      <c r="D104" s="11" t="inlineStr">
        <is>
          <t>Clause de sauvegarde compétitivité</t>
        </is>
      </c>
      <c r="E104" s="11" t="inlineStr">
        <is>
          <t>détricoter la frontière</t>
        </is>
      </c>
      <c r="F104" s="10" t="inlineStr">
        <is>
          <t>Mondial</t>
        </is>
      </c>
      <c r="G104" s="10" t="inlineStr"/>
      <c r="H104" s="10" t="n">
        <v>4</v>
      </c>
      <c r="I104" s="10" t="inlineStr"/>
      <c r="J104" s="10" t="inlineStr"/>
      <c r="K104" s="10" t="inlineStr"/>
      <c r="L104" s="10" t="n">
        <v>3</v>
      </c>
      <c r="M104" s="11" t="inlineStr">
        <is>
          <t>un ajustement carbone aux frontières installé quelque part — sans lui, il n'y a rien à détricoter</t>
        </is>
      </c>
      <c r="N104" s="10" t="n">
        <v>100</v>
      </c>
      <c r="O104" s="11" t="inlineStr">
        <is>
          <t>Difficile à annuler</t>
        </is>
      </c>
      <c r="P104" s="10" t="inlineStr">
        <is>
          <t>Élevée</t>
        </is>
      </c>
      <c r="Q104" s="10" t="inlineStr">
        <is>
          <t>A03</t>
        </is>
      </c>
      <c r="R104" s="10" t="inlineStr"/>
      <c r="S104" s="11" t="inlineStr"/>
      <c r="T104" s="8" t="inlineStr"/>
      <c r="U104" s="11" t="inlineStr">
        <is>
          <t>Annule l'ajustement carbone aux frontières partout où il était installé : contrainte −6 sur chacun de ces blocs.</t>
        </is>
      </c>
      <c r="V104" s="11" t="inlineStr">
        <is>
          <t>L'ajustement est attaqué comme une barrière déguisée. Il n'a pas besoin d'être jugé illégal : l'exemption négociée pour les partenaires suffit à le vider.</t>
        </is>
      </c>
      <c r="W104" s="11" t="inlineStr">
        <is>
          <t>Contestations du mécanisme d'ajustement carbone européen par l'Inde et la Chine, notifications au comité du commerce et de l'environnement de l'OMC, 2023-2024.</t>
        </is>
      </c>
      <c r="X104" s="11" t="inlineStr">
        <is>
          <t>Sans ajustement installé nulle part, le levier ne fait rien.</t>
        </is>
      </c>
      <c r="Y104" s="11" t="inlineStr"/>
    </row>
    <row r="105">
      <c r="A105" s="10" t="inlineStr">
        <is>
          <t>T66</t>
        </is>
      </c>
      <c r="B105" s="10" t="inlineStr">
        <is>
          <t>Attentiste</t>
        </is>
      </c>
      <c r="C105" s="10" t="inlineStr">
        <is>
          <t>International</t>
        </is>
      </c>
      <c r="D105" s="11" t="inlineStr">
        <is>
          <t>Alliance des producteurs</t>
        </is>
      </c>
      <c r="E105" s="11" t="inlineStr">
        <is>
          <t>cartel de l'offre</t>
        </is>
      </c>
      <c r="F105" s="10" t="inlineStr">
        <is>
          <t>Mondial</t>
        </is>
      </c>
      <c r="G105" s="10" t="inlineStr"/>
      <c r="H105" s="10" t="n">
        <v>4</v>
      </c>
      <c r="I105" s="10" t="inlineStr"/>
      <c r="J105" s="10" t="inlineStr"/>
      <c r="K105" s="10" t="inlineStr"/>
      <c r="L105" s="10" t="n">
        <v>2</v>
      </c>
      <c r="M105" s="11" t="inlineStr"/>
      <c r="N105" s="10" t="n">
        <v>100</v>
      </c>
      <c r="O105" s="11" t="inlineStr">
        <is>
          <t>Difficile à annuler</t>
        </is>
      </c>
      <c r="P105" s="10" t="inlineStr">
        <is>
          <t>Élevée</t>
        </is>
      </c>
      <c r="Q105" s="10" t="inlineStr">
        <is>
          <t>A27</t>
        </is>
      </c>
      <c r="R105" s="10" t="inlineStr"/>
      <c r="S105" s="11" t="inlineStr">
        <is>
          <t>Le verrou international (avec T64)</t>
        </is>
      </c>
      <c r="T105" s="8" t="inlineStr"/>
      <c r="U105" s="11" t="inlineStr">
        <is>
          <t>Plafond −7 sur les trois blocs à rente fossile la plus élevée, et +3 de capital pour votre camp.</t>
        </is>
      </c>
      <c r="V105" s="11" t="inlineStr">
        <is>
          <t>Coordonner l'offre, c'est tenir le prix. Un prix tenu finance les budgets publics qui dépendent de la rente, et rend l'alternative plus chère au moment même où elle devrait devenir moins chère.</t>
        </is>
      </c>
      <c r="W105" s="11" t="inlineStr">
        <is>
          <t>Coordination OPEP+ sur les volumes depuis décembre 2016, reconduite à chaque révision de quotas.</t>
        </is>
      </c>
      <c r="X105" s="11" t="inlineStr">
        <is>
          <t>Le plafond baisse, la contrainte déjà installée reste. Le levier verrouille l'avenir, il ne défait pas le passé.</t>
        </is>
      </c>
      <c r="Y105" s="11" t="inlineStr"/>
    </row>
    <row r="106">
      <c r="A106" s="10" t="inlineStr">
        <is>
          <t>T67</t>
        </is>
      </c>
      <c r="B106" s="10" t="inlineStr">
        <is>
          <t>Attentiste</t>
        </is>
      </c>
      <c r="C106" s="10" t="inlineStr">
        <is>
          <t>Technologique</t>
        </is>
      </c>
      <c r="D106" s="11" t="inlineStr">
        <is>
          <t>Promesse de captage à grande échelle</t>
        </is>
      </c>
      <c r="E106" s="11" t="inlineStr">
        <is>
          <t>la technologie s'en chargera</t>
        </is>
      </c>
      <c r="F106" s="10" t="inlineStr">
        <is>
          <t>Bloc</t>
        </is>
      </c>
      <c r="G106" s="10" t="inlineStr"/>
      <c r="H106" s="10" t="n">
        <v>3</v>
      </c>
      <c r="I106" s="10" t="inlineStr"/>
      <c r="J106" s="10" t="inlineStr"/>
      <c r="K106" s="10" t="inlineStr"/>
      <c r="L106" s="10" t="n">
        <v>1</v>
      </c>
      <c r="M106" s="11" t="inlineStr"/>
      <c r="N106" s="10" t="n">
        <v>100</v>
      </c>
      <c r="O106" s="11" t="inlineStr">
        <is>
          <t>Facile à annuler</t>
        </is>
      </c>
      <c r="P106" s="10" t="inlineStr">
        <is>
          <t>Moyenne</t>
        </is>
      </c>
      <c r="Q106" s="10" t="inlineStr">
        <is>
          <t>A18</t>
        </is>
      </c>
      <c r="R106" s="10" t="inlineStr"/>
      <c r="S106" s="11" t="inlineStr">
        <is>
          <t>La promesse et le doute (avec T70)</t>
        </is>
      </c>
      <c r="T106" s="8" t="inlineStr"/>
      <c r="U106" s="11" t="inlineStr">
        <is>
          <t>Contrainte −8 et perçu +4 : l'engagement est reporté sur une capacité de captage qui n'existe pas à cette échelle.</t>
        </is>
      </c>
      <c r="V106" s="11" t="inlineStr">
        <is>
          <t>Inscrire dans la trajectoire une soustraction future dispense d'une réduction présente. Le bilan reste juste sur le papier tant que personne ne demande où sont les installations.</t>
        </is>
      </c>
      <c r="W106" s="11" t="inlineStr">
        <is>
          <t>Capacité mondiale de captage et stockage réellement opérationnelle : de l'ordre de 50 MtCO₂ par an, moins de 0,2 % des émissions, malgré des annonces à l'échelle de la gigatonne depuis 2009.</t>
        </is>
      </c>
      <c r="X106" s="11" t="inlineStr">
        <is>
          <t>Le perçu monte parce que la promesse rassure. Le jour où l'écart est révélé, il retombe plus bas qu'avant.</t>
        </is>
      </c>
      <c r="Y106" s="11" t="inlineStr"/>
    </row>
    <row r="107">
      <c r="A107" s="10" t="inlineStr">
        <is>
          <t>T68</t>
        </is>
      </c>
      <c r="B107" s="10" t="inlineStr">
        <is>
          <t>Attentiste</t>
        </is>
      </c>
      <c r="C107" s="10" t="inlineStr">
        <is>
          <t>Technologique</t>
        </is>
      </c>
      <c r="D107" s="11" t="inlineStr">
        <is>
          <t>Géo-ingénierie solaire à l'étude</t>
        </is>
      </c>
      <c r="E107" s="11" t="inlineStr">
        <is>
          <t>le bouton d'urgence</t>
        </is>
      </c>
      <c r="F107" s="10" t="inlineStr">
        <is>
          <t>Mondial</t>
        </is>
      </c>
      <c r="G107" s="10" t="inlineStr"/>
      <c r="H107" s="10" t="n">
        <v>4</v>
      </c>
      <c r="I107" s="10" t="inlineStr"/>
      <c r="J107" s="10" t="inlineStr"/>
      <c r="K107" s="10" t="inlineStr"/>
      <c r="L107" s="10" t="n">
        <v>3</v>
      </c>
      <c r="M107" s="11" t="inlineStr"/>
      <c r="N107" s="10" t="n">
        <v>60</v>
      </c>
      <c r="O107" s="11" t="inlineStr">
        <is>
          <t>Difficile à annuler</t>
        </is>
      </c>
      <c r="P107" s="10" t="inlineStr">
        <is>
          <t>Moyenne</t>
        </is>
      </c>
      <c r="Q107" s="10" t="inlineStr">
        <is>
          <t>A39</t>
        </is>
      </c>
      <c r="R107" s="10" t="inlineStr"/>
      <c r="S107" s="11" t="inlineStr"/>
      <c r="T107" s="10" t="n">
        <v>2</v>
      </c>
      <c r="U107" s="11" t="inlineStr">
        <is>
          <t>Perçu −8 partout : le problème paraît réversible. Indice technologique +6 — la recherche, elle, est réelle.</t>
        </is>
      </c>
      <c r="V107" s="11" t="inlineStr">
        <is>
          <t>Si la température peut être rendue réglable, le budget carbone cesse d'être une contrainte et redevient un paramètre. L'argument n'a pas besoin d'être vrai pour être efficace.</t>
        </is>
      </c>
      <c r="W107" s="11" t="inlineStr">
        <is>
          <t>Rapport des académies américaines des sciences de 2021 recommandant un programme de recherche encadré sur la modification du rayonnement solaire, et l'absence de tout cadre de gouvernance depuis.</t>
        </is>
      </c>
      <c r="X107" s="11" t="inlineStr">
        <is>
          <t>Le seul levier du camp qui fasse progresser la courbe d'apprentissage adverse : ce qu'il gagne en opinion, il le rend en technologie.</t>
        </is>
      </c>
      <c r="Y107" s="11" t="inlineStr">
        <is>
          <t>Extension · niveau Expert, sujet sensible : aléa moral massif, risque d'arrêt brutal</t>
        </is>
      </c>
    </row>
    <row r="108">
      <c r="A108" s="10" t="inlineStr">
        <is>
          <t>T69</t>
        </is>
      </c>
      <c r="B108" s="10" t="inlineStr">
        <is>
          <t>Attentiste</t>
        </is>
      </c>
      <c r="C108" s="10" t="inlineStr">
        <is>
          <t>Technologique</t>
        </is>
      </c>
      <c r="D108" s="11" t="inlineStr">
        <is>
          <t>Attente de la prochaine génération</t>
        </is>
      </c>
      <c r="E108" s="11" t="inlineStr">
        <is>
          <t>pas avec celle-là</t>
        </is>
      </c>
      <c r="F108" s="10" t="inlineStr">
        <is>
          <t>Bloc</t>
        </is>
      </c>
      <c r="G108" s="10" t="inlineStr"/>
      <c r="H108" s="10" t="n">
        <v>2</v>
      </c>
      <c r="I108" s="10" t="inlineStr"/>
      <c r="J108" s="10" t="inlineStr"/>
      <c r="K108" s="10" t="inlineStr"/>
      <c r="L108" s="10" t="n">
        <v>1</v>
      </c>
      <c r="M108" s="11" t="inlineStr">
        <is>
          <t>un effet différé adverse en attente — il faut que l'adversaire ait engagé pour pouvoir le vider</t>
        </is>
      </c>
      <c r="N108" s="10" t="n">
        <v>100</v>
      </c>
      <c r="O108" s="11" t="inlineStr">
        <is>
          <t>Facile à annuler</t>
        </is>
      </c>
      <c r="P108" s="10" t="inlineStr">
        <is>
          <t>Faible</t>
        </is>
      </c>
      <c r="Q108" s="10" t="inlineStr">
        <is>
          <t>A47</t>
        </is>
      </c>
      <c r="R108" s="10" t="inlineStr"/>
      <c r="S108" s="11" t="inlineStr"/>
      <c r="T108" s="8" t="inlineStr"/>
      <c r="U108" s="11" t="inlineStr">
        <is>
          <t>Chaque effet différé en attente sur ce bloc perd 4 de contrainte : la génération actuelle ne vaut pas l'investissement, la suivante arrive.</t>
        </is>
      </c>
      <c r="V108" s="11" t="inlineStr">
        <is>
          <t>Le refus ne porte jamais sur la technologie en général, seulement sur celle qui est disponible maintenant. L'argument se renouvelle à chaque génération.</t>
        </is>
      </c>
      <c r="W108" s="11" t="inlineStr">
        <is>
          <t>Reports successifs des réacteurs à neutrons rapides et de l'hydrogène vert compétitif, annoncés à dix ans d'échéance depuis les années 2000.</t>
        </is>
      </c>
      <c r="X108" s="11" t="inlineStr">
        <is>
          <t>Sans effet différé en attente, le levier ne fait rien. Il faut donc laisser l'adversaire engager avant de frapper.</t>
        </is>
      </c>
      <c r="Y108" s="11" t="inlineStr"/>
    </row>
    <row r="109">
      <c r="A109" s="10" t="inlineStr">
        <is>
          <t>T70</t>
        </is>
      </c>
      <c r="B109" s="10" t="inlineStr">
        <is>
          <t>Attentiste</t>
        </is>
      </c>
      <c r="C109" s="10" t="inlineStr">
        <is>
          <t>Technologique</t>
        </is>
      </c>
      <c r="D109" s="11" t="inlineStr">
        <is>
          <t>Contestation du bilan carbone</t>
        </is>
      </c>
      <c r="E109" s="11" t="inlineStr">
        <is>
          <t>le périmètre 3 n'existe pas</t>
        </is>
      </c>
      <c r="F109" s="10" t="inlineStr">
        <is>
          <t>Mondial</t>
        </is>
      </c>
      <c r="G109" s="10" t="inlineStr"/>
      <c r="H109" s="10" t="n">
        <v>3</v>
      </c>
      <c r="I109" s="10" t="inlineStr"/>
      <c r="J109" s="10" t="inlineStr"/>
      <c r="K109" s="10" t="inlineStr"/>
      <c r="L109" s="10" t="n">
        <v>2</v>
      </c>
      <c r="M109" s="11" t="inlineStr">
        <is>
          <t>un indice technologique d'au moins 15 — on ne conteste que des chiffres qui existent</t>
        </is>
      </c>
      <c r="N109" s="10" t="n">
        <v>100</v>
      </c>
      <c r="O109" s="11" t="inlineStr">
        <is>
          <t>Difficile à annuler</t>
        </is>
      </c>
      <c r="P109" s="10" t="inlineStr">
        <is>
          <t>Élevée</t>
        </is>
      </c>
      <c r="Q109" s="10" t="inlineStr">
        <is>
          <t>A12</t>
        </is>
      </c>
      <c r="R109" s="10" t="inlineStr"/>
      <c r="S109" s="11" t="inlineStr">
        <is>
          <t>La promesse et le doute (avec T67)</t>
        </is>
      </c>
      <c r="T109" s="8" t="inlineStr"/>
      <c r="U109" s="11" t="inlineStr">
        <is>
          <t>Indice technologique −7, et les seuils de la courbe d'apprentissage sont neutralisés pendant deux tours.</t>
        </is>
      </c>
      <c r="V109" s="11" t="inlineStr">
        <is>
          <t>Contester le périmètre de comptabilisation plutôt que le chiffre. Tant que la méthode est en discussion, aucune donnée n'est opposable et aucun apprentissage n'est mesurable.</t>
        </is>
      </c>
      <c r="W109" s="11" t="inlineStr">
        <is>
          <t>Batailles récurrentes sur le périmètre 3 dans les référentiels de reporting extra-financier, et allègements successifs des obligations de publication.</t>
        </is>
      </c>
      <c r="X109" s="11" t="inlineStr">
        <is>
          <t>Retarde la mesure, pas la baisse des coûts. L'effet s'épuise dès que la donnée redevient obligatoire.</t>
        </is>
      </c>
      <c r="Y109" s="11" t="inlineStr"/>
    </row>
    <row r="110">
      <c r="A110" s="10" t="inlineStr">
        <is>
          <t>T71</t>
        </is>
      </c>
      <c r="B110" s="10" t="inlineStr">
        <is>
          <t>Attentiste</t>
        </is>
      </c>
      <c r="C110" s="10" t="inlineStr">
        <is>
          <t>Réglementaire</t>
        </is>
      </c>
      <c r="D110" s="11" t="inlineStr">
        <is>
          <t>Moratoire réglementaire</t>
        </is>
      </c>
      <c r="E110" s="11" t="inlineStr">
        <is>
          <t>gel des normes</t>
        </is>
      </c>
      <c r="F110" s="10" t="inlineStr">
        <is>
          <t>Bloc</t>
        </is>
      </c>
      <c r="G110" s="10" t="inlineStr"/>
      <c r="H110" s="10" t="n">
        <v>3</v>
      </c>
      <c r="I110" s="10" t="inlineStr"/>
      <c r="J110" s="10" t="inlineStr"/>
      <c r="K110" s="10" t="inlineStr"/>
      <c r="L110" s="10" t="n">
        <v>2</v>
      </c>
      <c r="M110" s="11" t="inlineStr"/>
      <c r="N110" s="10" t="n">
        <v>72</v>
      </c>
      <c r="O110" s="11" t="inlineStr">
        <is>
          <t>Facile à annuler</t>
        </is>
      </c>
      <c r="P110" s="10" t="inlineStr">
        <is>
          <t>Moyenne</t>
        </is>
      </c>
      <c r="Q110" s="10" t="inlineStr">
        <is>
          <t>A15</t>
        </is>
      </c>
      <c r="R110" s="10" t="inlineStr"/>
      <c r="S110" s="11" t="inlineStr"/>
      <c r="T110" s="8" t="inlineStr"/>
      <c r="U110" s="11" t="inlineStr">
        <is>
          <t>Aucune nouvelle mesure ne peut être prise sur ce bloc pendant un tour, et la friction y retombe de 10.</t>
        </is>
      </c>
      <c r="V110" s="11" t="inlineStr">
        <is>
          <t>Suspendre l'édiction de normes le temps d'un réexamen général. Rien n'est abrogé, rien n'avance, et la tension retombe faute d'objet.</t>
        </is>
      </c>
      <c r="W110" s="11" t="inlineStr">
        <is>
          <t>Gels réglementaires à l'entrée en fonction des administrations américaines, pratique constante depuis 1981 et systématiquement reconduite.</t>
        </is>
      </c>
      <c r="X110" s="11" t="inlineStr">
        <is>
          <t>Un tour seulement, et la friction qui retombe profite aussi à l'adversaire quand il revient.</t>
        </is>
      </c>
      <c r="Y110" s="11" t="inlineStr"/>
    </row>
    <row r="111">
      <c r="A111" s="10" t="inlineStr">
        <is>
          <t>T72</t>
        </is>
      </c>
      <c r="B111" s="10" t="inlineStr">
        <is>
          <t>Attentiste</t>
        </is>
      </c>
      <c r="C111" s="10" t="inlineStr">
        <is>
          <t>Réglementaire</t>
        </is>
      </c>
      <c r="D111" s="11" t="inlineStr">
        <is>
          <t>Étude d'impact préalable</t>
        </is>
      </c>
      <c r="E111" s="11" t="inlineStr">
        <is>
          <t>le rapport avant la règle</t>
        </is>
      </c>
      <c r="F111" s="10" t="inlineStr">
        <is>
          <t>Bloc</t>
        </is>
      </c>
      <c r="G111" s="10" t="inlineStr"/>
      <c r="H111" s="10" t="n">
        <v>2</v>
      </c>
      <c r="I111" s="10" t="inlineStr"/>
      <c r="J111" s="10" t="inlineStr"/>
      <c r="K111" s="10" t="inlineStr"/>
      <c r="L111" s="10" t="n">
        <v>1</v>
      </c>
      <c r="M111" s="11" t="inlineStr">
        <is>
          <t>un effet différé adverse en attente</t>
        </is>
      </c>
      <c r="N111" s="10" t="n">
        <v>100</v>
      </c>
      <c r="O111" s="11" t="inlineStr">
        <is>
          <t>Difficile à annuler</t>
        </is>
      </c>
      <c r="P111" s="10" t="inlineStr">
        <is>
          <t>Élevée</t>
        </is>
      </c>
      <c r="Q111" s="10" t="inlineStr">
        <is>
          <t>A62</t>
        </is>
      </c>
      <c r="R111" s="10" t="inlineStr"/>
      <c r="S111" s="11" t="inlineStr"/>
      <c r="T111" s="8" t="inlineStr"/>
      <c r="U111" s="11" t="inlineStr">
        <is>
          <t>Le prochain effet différé qui devait arriver sur ce bloc est annulé.</t>
        </is>
      </c>
      <c r="V111" s="11" t="inlineStr">
        <is>
          <t>Exiger l'évaluation coût-bénéfice complète avant l'entrée en vigueur. L'obligation est raisonnable, sa durée ne l'est pas, et le texte meurt de son propre calendrier.</t>
        </is>
      </c>
      <c r="W111" s="11" t="inlineStr">
        <is>
          <t>Analyse coût-bénéfice obligatoire instaurée par l'ordre exécutif 12866 (1993), devenue le principal point de blocage des réglementations environnementales américaines.</t>
        </is>
      </c>
      <c r="X111" s="11" t="inlineStr">
        <is>
          <t>Un seul effet, et il faut qu'il y en ait un en attente.</t>
        </is>
      </c>
      <c r="Y111" s="11" t="inlineStr"/>
    </row>
    <row r="112">
      <c r="A112" s="10" t="inlineStr">
        <is>
          <t>T73</t>
        </is>
      </c>
      <c r="B112" s="10" t="inlineStr">
        <is>
          <t>Attentiste</t>
        </is>
      </c>
      <c r="C112" s="10" t="inlineStr">
        <is>
          <t>Réglementaire</t>
        </is>
      </c>
      <c r="D112" s="11" t="inlineStr">
        <is>
          <t>Test PME</t>
        </is>
      </c>
      <c r="E112" s="11" t="inlineStr">
        <is>
          <t>paquet de simplification</t>
        </is>
      </c>
      <c r="F112" s="10" t="inlineStr">
        <is>
          <t>Mondial</t>
        </is>
      </c>
      <c r="G112" s="10" t="inlineStr"/>
      <c r="H112" s="10" t="n">
        <v>3</v>
      </c>
      <c r="I112" s="10" t="inlineStr"/>
      <c r="J112" s="10" t="inlineStr"/>
      <c r="K112" s="10" t="inlineStr"/>
      <c r="L112" s="10" t="n">
        <v>3</v>
      </c>
      <c r="M112" s="11" t="inlineStr">
        <is>
          <t>un bloc portant au moins deux mesures — sans stock, rien à simplifier</t>
        </is>
      </c>
      <c r="N112" s="10" t="n">
        <v>100</v>
      </c>
      <c r="O112" s="11" t="inlineStr">
        <is>
          <t>Difficile à annuler</t>
        </is>
      </c>
      <c r="P112" s="10" t="inlineStr">
        <is>
          <t>Élevée</t>
        </is>
      </c>
      <c r="Q112" s="10" t="inlineStr">
        <is>
          <t>A19</t>
        </is>
      </c>
      <c r="R112" s="10" t="inlineStr"/>
      <c r="S112" s="11" t="inlineStr"/>
      <c r="T112" s="8" t="inlineStr"/>
      <c r="U112" s="11" t="inlineStr">
        <is>
          <t>Plafond −5 sur tous les blocs qui portent au moins deux mesures : toute norme nouvelle doit d'abord prouver qu'elle n'écrase pas les petites entreprises.</t>
        </is>
      </c>
      <c r="V112" s="11" t="inlineStr">
        <is>
          <t>Le filtre ne s'oppose à aucune mesure en particulier. Il ajoute une condition de recevabilité à toutes celles qui viendront, et il ne se voit pas.</t>
        </is>
      </c>
      <c r="W112" s="11" t="inlineStr">
        <is>
          <t>« Test PME » du programme européen « mieux légiférer », et paquets omnibus de simplification qui rouvrent des obligations de publication déjà adoptées.</t>
        </is>
      </c>
      <c r="X112" s="11" t="inlineStr">
        <is>
          <t>Sans stock de mesures, rien à alléger : le levier suppose que l'adversaire ait déjà agi.</t>
        </is>
      </c>
      <c r="Y112" s="11" t="inlineStr"/>
    </row>
    <row r="113">
      <c r="A113" s="10" t="inlineStr">
        <is>
          <t>T74</t>
        </is>
      </c>
      <c r="B113" s="10" t="inlineStr">
        <is>
          <t>Attentiste</t>
        </is>
      </c>
      <c r="C113" s="10" t="inlineStr">
        <is>
          <t>Économique</t>
        </is>
      </c>
      <c r="D113" s="11" t="inlineStr">
        <is>
          <t>Assurance publique de dernier ressort</t>
        </is>
      </c>
      <c r="E113" s="11" t="inlineStr">
        <is>
          <t>l'État réassureur</t>
        </is>
      </c>
      <c r="F113" s="10" t="inlineStr">
        <is>
          <t>Mondial</t>
        </is>
      </c>
      <c r="G113" s="10" t="inlineStr"/>
      <c r="H113" s="10" t="n">
        <v>3</v>
      </c>
      <c r="I113" s="10" t="inlineStr"/>
      <c r="J113" s="10" t="inlineStr"/>
      <c r="K113" s="10" t="inlineStr"/>
      <c r="L113" s="10" t="n">
        <v>2</v>
      </c>
      <c r="M113" s="11" t="inlineStr">
        <is>
          <t>un retrait d'assurance à compenser — sans lui, il n'y a rien à réassurer</t>
        </is>
      </c>
      <c r="N113" s="10" t="n">
        <v>100</v>
      </c>
      <c r="O113" s="11" t="inlineStr">
        <is>
          <t>Difficile à annuler</t>
        </is>
      </c>
      <c r="P113" s="10" t="inlineStr">
        <is>
          <t>Élevée</t>
        </is>
      </c>
      <c r="Q113" s="10" t="inlineStr">
        <is>
          <t>A27</t>
        </is>
      </c>
      <c r="R113" s="10" t="inlineStr"/>
      <c r="S113" s="11" t="inlineStr"/>
      <c r="T113" s="8" t="inlineStr"/>
      <c r="U113" s="11" t="inlineStr">
        <is>
          <t>Annule le retrait de l'assurance privée : contrainte −7 sur les cinq blocs à rente fossile élevée.</t>
        </is>
      </c>
      <c r="V113" s="11" t="inlineStr">
        <is>
          <t>Quand les réassureurs se retirent, une garantie publique ou une captive d'État prend le relais. Le risque n'a pas disparu, il a changé de porteur — et ce porteur ne se retire pas.</t>
        </is>
      </c>
      <c r="W113" s="11" t="inlineStr">
        <is>
          <t>Agences de crédit à l'export et captives publiques d'assurance maintenues sur des projets fossiles après les retraits des réassureurs privés.</t>
        </is>
      </c>
      <c r="X113" s="11" t="inlineStr">
        <is>
          <t>Le levier suppose un retrait à compenser. Sans lui, il n'a rien à réassurer.</t>
        </is>
      </c>
      <c r="Y113" s="11" t="inlineStr"/>
    </row>
  </sheetData>
  <autoFilter ref="A1:Y1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15" customWidth="1" min="3" max="3"/>
    <col width="34" customWidth="1" min="4" max="4"/>
    <col width="9" customWidth="1" min="5" max="5"/>
    <col width="13" customWidth="1" min="6" max="6"/>
    <col width="50" customWidth="1" min="7" max="7"/>
    <col width="26" customWidth="1" min="8" max="8"/>
    <col width="50" customWidth="1" min="9" max="9"/>
    <col width="44" customWidth="1" min="10" max="10"/>
  </cols>
  <sheetData>
    <row r="1" ht="30" customHeight="1">
      <c r="A1" s="5" t="inlineStr">
        <is>
          <t>ID catalogue</t>
        </is>
      </c>
      <c r="B1" s="5" t="inlineStr">
        <is>
          <t>Camp</t>
        </is>
      </c>
      <c r="C1" s="5" t="inlineStr">
        <is>
          <t>Famille</t>
        </is>
      </c>
      <c r="D1" s="5" t="inlineStr">
        <is>
          <t>Levier</t>
        </is>
      </c>
      <c r="E1" s="5" t="inlineStr">
        <is>
          <t>Puissance réelle</t>
        </is>
      </c>
      <c r="F1" s="5" t="inlineStr">
        <is>
          <t>Verdict août 2026</t>
        </is>
      </c>
      <c r="G1" s="5" t="inlineStr">
        <is>
          <t>Motif d'août</t>
        </is>
      </c>
      <c r="H1" s="5" t="inlineStr">
        <is>
          <t>Verdict v0.9.1</t>
        </is>
      </c>
      <c r="I1" s="5" t="inlineStr">
        <is>
          <t>Pourquoi</t>
        </is>
      </c>
      <c r="J1" s="5" t="inlineStr">
        <is>
          <t>Ancrage réel daté</t>
        </is>
      </c>
    </row>
    <row r="2">
      <c r="A2" s="12" t="inlineStr">
        <is>
          <t>A06</t>
        </is>
      </c>
      <c r="B2" s="12" t="inlineStr">
        <is>
          <t>Actif</t>
        </is>
      </c>
      <c r="C2" s="12" t="inlineStr">
        <is>
          <t>Réglementaire</t>
        </is>
      </c>
      <c r="D2" s="13" t="inlineStr">
        <is>
          <t>Norme bâtiment / interdiction des passoires</t>
        </is>
      </c>
      <c r="E2" s="12" t="n">
        <v>3</v>
      </c>
      <c r="F2" s="12" t="inlineStr">
        <is>
          <t>À tester</t>
        </is>
      </c>
      <c r="G2" s="13" t="inlineStr">
        <is>
          <t>Extension · à garder si la friction propriétaire est modélisée (absorbe A09)</t>
        </is>
      </c>
      <c r="H2" s="13" t="inlineStr">
        <is>
          <t>Écarté — pas de décision distincte</t>
        </is>
      </c>
      <c r="I2" s="13" t="inlineStr">
        <is>
          <t>Défendable, mais n'ouvre aucun choix que le jeu ne propose autrement.</t>
        </is>
      </c>
      <c r="J2" s="13" t="inlineStr">
        <is>
          <t>Calendrier DPE FR : classe G en 2025, F en 2028</t>
        </is>
      </c>
    </row>
    <row r="3">
      <c r="A3" s="12" t="inlineStr">
        <is>
          <t>A08</t>
        </is>
      </c>
      <c r="B3" s="12" t="inlineStr">
        <is>
          <t>Actif</t>
        </is>
      </c>
      <c r="C3" s="12" t="inlineStr">
        <is>
          <t>Réglementaire</t>
        </is>
      </c>
      <c r="D3" s="13" t="inlineStr">
        <is>
          <t>Plafond d'émission des centrales</t>
        </is>
      </c>
      <c r="E3" s="12" t="n">
        <v>4</v>
      </c>
      <c r="F3" s="12" t="inlineStr">
        <is>
          <t>À tester</t>
        </is>
      </c>
      <c r="G3" s="13" t="inlineStr">
        <is>
          <t>Extension · recouvre partiellement A02 et A05 — vérifier qu'il apporte une décision distincte</t>
        </is>
      </c>
      <c r="H3" s="13" t="inlineStr">
        <is>
          <t>Écarté — redondance</t>
        </is>
      </c>
      <c r="I3" s="13" t="inlineStr">
        <is>
          <t>Le jeu produit déjà la même décision par une autre carte.</t>
        </is>
      </c>
      <c r="J3" s="13" t="inlineStr">
        <is>
          <t>Clean Power Plan US 2015, annulé en 2019 puis remplacé — exemple d'annulabilité</t>
        </is>
      </c>
    </row>
    <row r="4">
      <c r="A4" s="12" t="inlineStr">
        <is>
          <t>A09</t>
        </is>
      </c>
      <c r="B4" s="12" t="inlineStr">
        <is>
          <t>Actif</t>
        </is>
      </c>
      <c r="C4" s="12" t="inlineStr">
        <is>
          <t>Réglementaire</t>
        </is>
      </c>
      <c r="D4" s="13" t="inlineStr">
        <is>
          <t>Obligation de rénovation énergétique</t>
        </is>
      </c>
      <c r="E4" s="12" t="n">
        <v>3</v>
      </c>
      <c r="F4" s="12" t="inlineStr">
        <is>
          <t>Écarté</t>
        </is>
      </c>
      <c r="G4" s="13" t="inlineStr">
        <is>
          <t>Fusionné dans A06 (norme bâtiment) — même effet, même friction, deux cartes redondantes</t>
        </is>
      </c>
      <c r="H4" s="13" t="inlineStr">
        <is>
          <t>Écarté — fusionné en août</t>
        </is>
      </c>
      <c r="I4" s="13" t="inlineStr">
        <is>
          <t>Fusion décidée le 17 août 2026 et maintenue : voir le motif d'origine.</t>
        </is>
      </c>
      <c r="J4" s="13" t="inlineStr">
        <is>
          <t>Directive UE performance énergétique des bâtiments, révisée 2024</t>
        </is>
      </c>
    </row>
    <row r="5">
      <c r="A5" s="12" t="inlineStr">
        <is>
          <t>A13</t>
        </is>
      </c>
      <c r="B5" s="12" t="inlineStr">
        <is>
          <t>Actif</t>
        </is>
      </c>
      <c r="C5" s="12" t="inlineStr">
        <is>
          <t>Réglementaire</t>
        </is>
      </c>
      <c r="D5" s="13" t="inlineStr">
        <is>
          <t>Zone à faibles émissions</t>
        </is>
      </c>
      <c r="E5" s="12" t="n">
        <v>2</v>
      </c>
      <c r="F5" s="12" t="inlineStr">
        <is>
          <t>À tester</t>
        </is>
      </c>
      <c r="G5" s="13" t="inlineStr">
        <is>
          <t>Extension · portée locale : n'existe mécaniquement que si le jeu descend sous le bloc</t>
        </is>
      </c>
      <c r="H5" s="13" t="inlineStr">
        <is>
          <t>Écarté — hors échelle</t>
        </is>
      </c>
      <c r="I5" s="13" t="inlineStr">
        <is>
          <t>Portée locale : n'existe mécaniquement que si le jeu descend sous le bloc, ce qu'il ne fait pas.</t>
        </is>
      </c>
      <c r="J5" s="13" t="inlineStr">
        <is>
          <t>ZFE françaises ; ULEZ Londres 2023 et son coût électoral</t>
        </is>
      </c>
    </row>
    <row r="6">
      <c r="A6" s="12" t="inlineStr">
        <is>
          <t>A14</t>
        </is>
      </c>
      <c r="B6" s="12" t="inlineStr">
        <is>
          <t>Actif</t>
        </is>
      </c>
      <c r="C6" s="12" t="inlineStr">
        <is>
          <t>Réglementaire</t>
        </is>
      </c>
      <c r="D6" s="13" t="inlineStr">
        <is>
          <t>Planification urbaine et fin de l'étalement</t>
        </is>
      </c>
      <c r="E6" s="12" t="n">
        <v>4</v>
      </c>
      <c r="F6" s="12" t="inlineStr">
        <is>
          <t>À tester</t>
        </is>
      </c>
      <c r="G6" s="13" t="inlineStr">
        <is>
          <t>Extension · horizon trop long pour 8 à 20 tours — chercher une représentation lisible</t>
        </is>
      </c>
      <c r="H6" s="13" t="inlineStr">
        <is>
          <t>Écarté — pas de décision distincte</t>
        </is>
      </c>
      <c r="I6" s="13" t="inlineStr">
        <is>
          <t>Défendable, mais n'ouvre aucun choix que le jeu ne propose autrement.</t>
        </is>
      </c>
      <c r="J6" s="13" t="inlineStr">
        <is>
          <t>Objectif ZAN français ; politiques de densification</t>
        </is>
      </c>
    </row>
    <row r="7">
      <c r="A7" s="12" t="inlineStr">
        <is>
          <t>A16</t>
        </is>
      </c>
      <c r="B7" s="12" t="inlineStr">
        <is>
          <t>Actif</t>
        </is>
      </c>
      <c r="C7" s="12" t="inlineStr">
        <is>
          <t>Réglementaire</t>
        </is>
      </c>
      <c r="D7" s="13" t="inlineStr">
        <is>
          <t>Devoir de vigilance sur la chaîne de valeur</t>
        </is>
      </c>
      <c r="E7" s="12" t="n">
        <v>3</v>
      </c>
      <c r="F7" s="12" t="inlineStr">
        <is>
          <t>Écarté</t>
        </is>
      </c>
      <c r="G7" s="13" t="inlineStr">
        <is>
          <t>Fusionné dans A15 (reporting) — même famille, même contre-levier T20</t>
        </is>
      </c>
      <c r="H7" s="13" t="inlineStr">
        <is>
          <t>Écarté — fusionné en août</t>
        </is>
      </c>
      <c r="I7" s="13" t="inlineStr">
        <is>
          <t>Fusion décidée le 17 août 2026 et maintenue : voir le motif d'origine.</t>
        </is>
      </c>
      <c r="J7" s="13" t="inlineStr">
        <is>
          <t>Loi FR 2017 ; directive CSDDD UE 2024, périmètre réduit en 2025</t>
        </is>
      </c>
    </row>
    <row r="8">
      <c r="A8" s="12" t="inlineStr">
        <is>
          <t>A23</t>
        </is>
      </c>
      <c r="B8" s="12" t="inlineStr">
        <is>
          <t>Actif</t>
        </is>
      </c>
      <c r="C8" s="12" t="inlineStr">
        <is>
          <t>Économique</t>
        </is>
      </c>
      <c r="D8" s="13" t="inlineStr">
        <is>
          <t>Verdissement de la banque centrale</t>
        </is>
      </c>
      <c r="E8" s="12" t="n">
        <v>3</v>
      </c>
      <c r="F8" s="12" t="inlineStr">
        <is>
          <t>À tester</t>
        </is>
      </c>
      <c r="G8" s="13" t="inlineStr">
        <is>
          <t>Extension · technocratique, hors du champ électoral : tester si le joueur comprend l'effet</t>
        </is>
      </c>
      <c r="H8" s="13" t="inlineStr">
        <is>
          <t>Écarté — pas de décision distincte</t>
        </is>
      </c>
      <c r="I8" s="13" t="inlineStr">
        <is>
          <t>Défendable, mais n'ouvre aucun choix que le jeu ne propose autrement.</t>
        </is>
      </c>
      <c r="J8" s="13" t="inlineStr">
        <is>
          <t>Verdissement du portefeuille d'obligations d'entreprises de la BCE, 2022</t>
        </is>
      </c>
    </row>
    <row r="9">
      <c r="A9" s="12" t="inlineStr">
        <is>
          <t>A24</t>
        </is>
      </c>
      <c r="B9" s="12" t="inlineStr">
        <is>
          <t>Actif</t>
        </is>
      </c>
      <c r="C9" s="12" t="inlineStr">
        <is>
          <t>Économique</t>
        </is>
      </c>
      <c r="D9" s="13" t="inlineStr">
        <is>
          <t>Exigences prudentielles et stress tests climat</t>
        </is>
      </c>
      <c r="E9" s="12" t="n">
        <v>3</v>
      </c>
      <c r="F9" s="12" t="inlineStr">
        <is>
          <t>Écarté</t>
        </is>
      </c>
      <c r="G9" s="13" t="inlineStr">
        <is>
          <t>Fusionné dans A23 (banque centrale) — encore moins lisible pour le joueur</t>
        </is>
      </c>
      <c r="H9" s="13" t="inlineStr">
        <is>
          <t>Écarté — fusionné en août</t>
        </is>
      </c>
      <c r="I9" s="13" t="inlineStr">
        <is>
          <t>Fusion décidée le 17 août 2026 et maintenue : voir le motif d'origine.</t>
        </is>
      </c>
      <c r="J9" s="13" t="inlineStr">
        <is>
          <t>Stress tests climatiques BCE 2022 ; travaux du NGFS</t>
        </is>
      </c>
    </row>
    <row r="10">
      <c r="A10" s="12" t="inlineStr">
        <is>
          <t>A30</t>
        </is>
      </c>
      <c r="B10" s="12" t="inlineStr">
        <is>
          <t>Actif</t>
        </is>
      </c>
      <c r="C10" s="12" t="inlineStr">
        <is>
          <t>Économique</t>
        </is>
      </c>
      <c r="D10" s="13" t="inlineStr">
        <is>
          <t>Partenariat de transition juste (JETP)</t>
        </is>
      </c>
      <c r="E10" s="12" t="n">
        <v>2</v>
      </c>
      <c r="F10" s="12" t="inlineStr">
        <is>
          <t>Écarté</t>
        </is>
      </c>
      <c r="G10" s="13" t="inlineStr">
        <is>
          <t>Fusionné dans A29 (financement Nord-Sud) — décaissements réels trop faibles pour justifier une carte propre</t>
        </is>
      </c>
      <c r="H10" s="13" t="inlineStr">
        <is>
          <t>Écarté — fusionné en août</t>
        </is>
      </c>
      <c r="I10" s="13" t="inlineStr">
        <is>
          <t>Fusion décidée le 17 août 2026 et maintenue : voir le motif d'origine.</t>
        </is>
      </c>
      <c r="J10" s="13" t="inlineStr">
        <is>
          <t>JETP Afrique du Sud 2021, Indonésie et Vietnam 2022 : décaissements lents</t>
        </is>
      </c>
    </row>
    <row r="11">
      <c r="A11" s="12" t="inlineStr">
        <is>
          <t>A32</t>
        </is>
      </c>
      <c r="B11" s="12" t="inlineStr">
        <is>
          <t>Actif</t>
        </is>
      </c>
      <c r="C11" s="12" t="inlineStr">
        <is>
          <t>Économique</t>
        </is>
      </c>
      <c r="D11" s="13" t="inlineStr">
        <is>
          <t>Commande publique verte</t>
        </is>
      </c>
      <c r="E11" s="12" t="n">
        <v>3</v>
      </c>
      <c r="F11" s="12" t="inlineStr">
        <is>
          <t>À tester</t>
        </is>
      </c>
      <c r="G11" s="13" t="inlineStr">
        <is>
          <t>Extension · 10 à 15 % du PIB, très peu exploité dans le réel : gisement de jeu, effet difficile à chiffrer</t>
        </is>
      </c>
      <c r="H11" s="13" t="inlineStr">
        <is>
          <t>Écarté — pas de décision distincte</t>
        </is>
      </c>
      <c r="I11" s="13" t="inlineStr">
        <is>
          <t>Défendable, mais n'ouvre aucun choix que le jeu ne propose autrement.</t>
        </is>
      </c>
      <c r="J11" s="13" t="inlineStr">
        <is>
          <t>Buy Clean californien ; clauses carbone des marchés publics UE</t>
        </is>
      </c>
    </row>
    <row r="12">
      <c r="A12" s="12" t="inlineStr">
        <is>
          <t>A34</t>
        </is>
      </c>
      <c r="B12" s="12" t="inlineStr">
        <is>
          <t>Actif</t>
        </is>
      </c>
      <c r="C12" s="12" t="inlineStr">
        <is>
          <t>Judiciaire</t>
        </is>
      </c>
      <c r="D12" s="13" t="inlineStr">
        <is>
          <t>Contentieux contre une entreprise</t>
        </is>
      </c>
      <c r="E12" s="12" t="n">
        <v>3</v>
      </c>
      <c r="F12" s="12" t="inlineStr">
        <is>
          <t>À tester</t>
        </is>
      </c>
      <c r="G12" s="13" t="inlineStr">
        <is>
          <t>Extension · gain infirmé en appel (Shell, 2024) — modéliser la fragilité plutôt que le gain</t>
        </is>
      </c>
      <c r="H12" s="13" t="inlineStr">
        <is>
          <t>Écarté — redondance</t>
        </is>
      </c>
      <c r="I12" s="13" t="inlineStr">
        <is>
          <t>Le jeu produit déjà la même décision par une autre carte.</t>
        </is>
      </c>
      <c r="J12" s="13" t="inlineStr">
        <is>
          <t>Milieudefensie c. Shell : -45 % ordonné en 2021, infirmé en appel en 2024</t>
        </is>
      </c>
    </row>
    <row r="13">
      <c r="A13" s="12" t="inlineStr">
        <is>
          <t>A42</t>
        </is>
      </c>
      <c r="B13" s="12" t="inlineStr">
        <is>
          <t>Actif</t>
        </is>
      </c>
      <c r="C13" s="12" t="inlineStr">
        <is>
          <t>Technologique</t>
        </is>
      </c>
      <c r="D13" s="13" t="inlineStr">
        <is>
          <t>Efficacité matière et économie circulaire</t>
        </is>
      </c>
      <c r="E13" s="12" t="n">
        <v>3</v>
      </c>
      <c r="F13" s="12" t="inlineStr">
        <is>
          <t>À tester</t>
        </is>
      </c>
      <c r="G13" s="13" t="inlineStr">
        <is>
          <t>Extension · angle mort réel des politiques, difficile à modéliser</t>
        </is>
      </c>
      <c r="H13" s="13" t="inlineStr">
        <is>
          <t>Non construit — identifiant occupé</t>
        </is>
      </c>
      <c r="I13" s="13" t="inlineStr">
        <is>
          <t>Efficacité matière et économie circulaire : non construit, et l'identifiant A42 désigne un piège dans le jeu.</t>
        </is>
      </c>
      <c r="J13" s="13" t="inlineStr">
        <is>
          <t>Travaux du Shift Project sur l'industrie ; référentiels ADEME</t>
        </is>
      </c>
    </row>
    <row r="14">
      <c r="A14" s="12" t="inlineStr">
        <is>
          <t>A43</t>
        </is>
      </c>
      <c r="B14" s="12" t="inlineStr">
        <is>
          <t>Actif</t>
        </is>
      </c>
      <c r="C14" s="12" t="inlineStr">
        <is>
          <t>Technologique</t>
        </is>
      </c>
      <c r="D14" s="13" t="inlineStr">
        <is>
          <t>Décarbonation de l'industrie lourde</t>
        </is>
      </c>
      <c r="E14" s="12" t="n">
        <v>4</v>
      </c>
      <c r="F14" s="12" t="inlineStr">
        <is>
          <t>À tester</t>
        </is>
      </c>
      <c r="G14" s="13" t="inlineStr">
        <is>
          <t>Extension · coût 5, incontournable à terme ; l'ancrage montre que ça peut échouer (projets suspendus 2024-2025)</t>
        </is>
      </c>
      <c r="H14" s="13" t="inlineStr">
        <is>
          <t>Non construit — identifiant occupé</t>
        </is>
      </c>
      <c r="I14" s="13" t="inlineStr">
        <is>
          <t>Décarbonation de l'industrie lourde : non construit, et l'identifiant A43 désigne un piège dans le jeu.</t>
        </is>
      </c>
      <c r="J14" s="13" t="inlineStr">
        <is>
          <t>HYBRIT et H2 Green Steel en Suède ; projets suspendus en 2024-2025 faute de rentabilité</t>
        </is>
      </c>
    </row>
    <row r="15">
      <c r="A15" s="12" t="inlineStr">
        <is>
          <t>A45</t>
        </is>
      </c>
      <c r="B15" s="12" t="inlineStr">
        <is>
          <t>Actif</t>
        </is>
      </c>
      <c r="C15" s="12" t="inlineStr">
        <is>
          <t>Technologique</t>
        </is>
      </c>
      <c r="D15" s="13" t="inlineStr">
        <is>
          <t>Puits de carbone et CDR</t>
        </is>
      </c>
      <c r="E15" s="12" t="n">
        <v>2</v>
      </c>
      <c r="F15" s="12" t="inlineStr">
        <is>
          <t>À tester</t>
        </is>
      </c>
      <c r="G15" s="13" t="inlineStr">
        <is>
          <t>Extension · à réserver au résiduel ; toute utilisation anticipée fonctionne comme un permis de retarder</t>
        </is>
      </c>
      <c r="H15" s="13" t="inlineStr">
        <is>
          <t>Écarté — redondance</t>
        </is>
      </c>
      <c r="I15" s="13" t="inlineStr">
        <is>
          <t>Le jeu produit déjà la même décision par une autre carte.</t>
        </is>
      </c>
      <c r="J15" s="13" t="inlineStr">
        <is>
          <t>Effondrement du puits forestier français depuis 2015 ; capacité DACCS mondiale marginale</t>
        </is>
      </c>
    </row>
    <row r="16">
      <c r="A16" s="12" t="inlineStr">
        <is>
          <t>A56</t>
        </is>
      </c>
      <c r="B16" s="12" t="inlineStr">
        <is>
          <t>Actif</t>
        </is>
      </c>
      <c r="C16" s="12" t="inlineStr">
        <is>
          <t>Narratif</t>
        </is>
      </c>
      <c r="D16" s="13" t="inlineStr">
        <is>
          <t>Contagion par la norme sociale visible</t>
        </is>
      </c>
      <c r="E16" s="12" t="n">
        <v>3</v>
      </c>
      <c r="F16" s="12" t="inlineStr">
        <is>
          <t>À tester</t>
        </is>
      </c>
      <c r="G16" s="13" t="inlineStr">
        <is>
          <t>Extension · lent, cumulatif, incontrable — vérifier qu'il ne rend pas la partie passive</t>
        </is>
      </c>
      <c r="H16" s="13" t="inlineStr">
        <is>
          <t>Écarté — risque de jeu</t>
        </is>
      </c>
      <c r="I16" s="13" t="inlineStr">
        <is>
          <t>Rendrait la partie passive, exige une mécanique absente du moteur, ou repose sur une base empirique trop mince.</t>
        </is>
      </c>
      <c r="J16" s="13" t="inlineStr">
        <is>
          <t>Effets de voisinage documentés sur l'adoption du photovoltaïque résidentiel</t>
        </is>
      </c>
    </row>
    <row r="17">
      <c r="A17" s="12" t="inlineStr">
        <is>
          <t>A58</t>
        </is>
      </c>
      <c r="B17" s="12" t="inlineStr">
        <is>
          <t>Actif</t>
        </is>
      </c>
      <c r="C17" s="12" t="inlineStr">
        <is>
          <t>Narratif</t>
        </is>
      </c>
      <c r="D17" s="13" t="inlineStr">
        <is>
          <t>Alliance avec le secteur de la santé</t>
        </is>
      </c>
      <c r="E17" s="12" t="n">
        <v>3</v>
      </c>
      <c r="F17" s="12" t="inlineStr">
        <is>
          <t>Écarté</t>
        </is>
      </c>
      <c r="G17" s="13" t="inlineStr">
        <is>
          <t>Fusionné dans A57 (récit de co-bénéfices) — l'alliance santé est la mise en œuvre du même levier</t>
        </is>
      </c>
      <c r="H17" s="13" t="inlineStr">
        <is>
          <t>Écarté — fusionné en août</t>
        </is>
      </c>
      <c r="I17" s="13" t="inlineStr">
        <is>
          <t>Fusion décidée le 17 août 2026 et maintenue : voir le motif d'origine.</t>
        </is>
      </c>
      <c r="J17" s="13" t="inlineStr">
        <is>
          <t>Prises de position du Lancet Countdown et des ordres médicaux</t>
        </is>
      </c>
    </row>
    <row r="18">
      <c r="A18" s="12" t="inlineStr">
        <is>
          <t>A68</t>
        </is>
      </c>
      <c r="B18" s="12" t="inlineStr">
        <is>
          <t>Actif</t>
        </is>
      </c>
      <c r="C18" s="12" t="inlineStr">
        <is>
          <t>International</t>
        </is>
      </c>
      <c r="D18" s="13" t="inlineStr">
        <is>
          <t>Conditionnalité commerciale</t>
        </is>
      </c>
      <c r="E18" s="12" t="n">
        <v>3</v>
      </c>
      <c r="F18" s="12" t="inlineStr">
        <is>
          <t>Écarté</t>
        </is>
      </c>
      <c r="G18" s="13" t="inlineStr">
        <is>
          <t>Fusionné dans A03 (ajustement carbone aux frontières) — même mécanique commerciale</t>
        </is>
      </c>
      <c r="H18" s="13" t="inlineStr">
        <is>
          <t>Écarté — fusionné en août</t>
        </is>
      </c>
      <c r="I18" s="13" t="inlineStr">
        <is>
          <t>Fusion décidée le 17 août 2026 et maintenue : voir le motif d'origine.</t>
        </is>
      </c>
      <c r="J18" s="13" t="inlineStr">
        <is>
          <t>Clauses climat des accords commerciaux UE ; interaction avec le MACF</t>
        </is>
      </c>
    </row>
    <row r="19">
      <c r="A19" s="12" t="inlineStr">
        <is>
          <t>A69</t>
        </is>
      </c>
      <c r="B19" s="12" t="inlineStr">
        <is>
          <t>Actif</t>
        </is>
      </c>
      <c r="C19" s="12" t="inlineStr">
        <is>
          <t>International</t>
        </is>
      </c>
      <c r="D19" s="13" t="inlineStr">
        <is>
          <t>Standard technique sectoriel mondial</t>
        </is>
      </c>
      <c r="E19" s="12" t="n">
        <v>3</v>
      </c>
      <c r="F19" s="12" t="inlineStr">
        <is>
          <t>À tester</t>
        </is>
      </c>
      <c r="G19" s="13" t="inlineStr">
        <is>
          <t>Extension · lent et invisible (OMI) — difficile à rendre jouable</t>
        </is>
      </c>
      <c r="H19" s="13" t="inlineStr">
        <is>
          <t>Écarté — pas de décision distincte</t>
        </is>
      </c>
      <c r="I19" s="13" t="inlineStr">
        <is>
          <t>Défendable, mais n'ouvre aucun choix que le jeu ne propose autrement.</t>
        </is>
      </c>
      <c r="J19" s="13" t="inlineStr">
        <is>
          <t>Stratégie OMI de décarbonation du transport maritime, révisée en 2023</t>
        </is>
      </c>
    </row>
    <row r="20">
      <c r="A20" s="12" t="inlineStr">
        <is>
          <t>P02</t>
        </is>
      </c>
      <c r="B20" s="12" t="inlineStr">
        <is>
          <t>Piège</t>
        </is>
      </c>
      <c r="C20" s="12" t="inlineStr">
        <is>
          <t>Piège</t>
        </is>
      </c>
      <c r="D20" s="13" t="inlineStr">
        <is>
          <t>Plantation d'arbres à grande échelle</t>
        </is>
      </c>
      <c r="E20" s="12" t="n">
        <v>1</v>
      </c>
      <c r="F20" s="12" t="inlineStr">
        <is>
          <t>À tester</t>
        </is>
      </c>
      <c r="G20" s="13" t="inlineStr">
        <is>
          <t>Extension · même mécanisme d'évitement que P01 — un seul des deux dans le noyau</t>
        </is>
      </c>
      <c r="H20" s="13" t="inlineStr">
        <is>
          <t>Écarté — redondance</t>
        </is>
      </c>
      <c r="I20" s="13" t="inlineStr">
        <is>
          <t>Le jeu produit déjà la même décision par une autre carte.</t>
        </is>
      </c>
      <c r="J20" s="13" t="inlineStr">
        <is>
          <t>Effondrement du puits forestier français depuis 2015 (sécheresses, scolytes)</t>
        </is>
      </c>
    </row>
    <row r="21">
      <c r="A21" s="12" t="inlineStr">
        <is>
          <t>P03</t>
        </is>
      </c>
      <c r="B21" s="12" t="inlineStr">
        <is>
          <t>Piège</t>
        </is>
      </c>
      <c r="C21" s="12" t="inlineStr">
        <is>
          <t>Piège</t>
        </is>
      </c>
      <c r="D21" s="13" t="inlineStr">
        <is>
          <t>Geste individuel présenté comme suffisant</t>
        </is>
      </c>
      <c r="E21" s="12" t="n">
        <v>1</v>
      </c>
      <c r="F21" s="12" t="inlineStr">
        <is>
          <t>À tester</t>
        </is>
      </c>
      <c r="G21" s="13" t="inlineStr">
        <is>
          <t>Extension · redondant avec T01 dans le noyau (absorbe P12)</t>
        </is>
      </c>
      <c r="H21" s="13" t="inlineStr">
        <is>
          <t>Écarté — redondance</t>
        </is>
      </c>
      <c r="I21" s="13" t="inlineStr">
        <is>
          <t>Le jeu produit déjà la même décision par une autre carte.</t>
        </is>
      </c>
      <c r="J21" s="13" t="inlineStr">
        <is>
          <t>Filiation directe avec le levier T01 (empreinte carbone individuelle)</t>
        </is>
      </c>
    </row>
    <row r="22">
      <c r="A22" s="12" t="inlineStr">
        <is>
          <t>P06</t>
        </is>
      </c>
      <c r="B22" s="12" t="inlineStr">
        <is>
          <t>Piège</t>
        </is>
      </c>
      <c r="C22" s="12" t="inlineStr">
        <is>
          <t>Piège</t>
        </is>
      </c>
      <c r="D22" s="13" t="inlineStr">
        <is>
          <t>Biocarburants de première génération</t>
        </is>
      </c>
      <c r="E22" s="12" t="n">
        <v>1</v>
      </c>
      <c r="F22" s="12" t="inlineStr">
        <is>
          <t>À tester</t>
        </is>
      </c>
      <c r="G22" s="13" t="inlineStr">
        <is>
          <t>Extension · bilan net contesté une fois le changement d'affectation des sols compté</t>
        </is>
      </c>
      <c r="H22" s="13" t="inlineStr">
        <is>
          <t>Écarté — redondance</t>
        </is>
      </c>
      <c r="I22" s="13" t="inlineStr">
        <is>
          <t>Le jeu produit déjà la même décision par une autre carte.</t>
        </is>
      </c>
      <c r="J22" s="13" t="inlineStr">
        <is>
          <t>Débats sur le colza et l'huile de palme dans les carburants européens</t>
        </is>
      </c>
    </row>
    <row r="23">
      <c r="A23" s="12" t="inlineStr">
        <is>
          <t>P12</t>
        </is>
      </c>
      <c r="B23" s="12" t="inlineStr">
        <is>
          <t>Piège</t>
        </is>
      </c>
      <c r="C23" s="12" t="inlineStr">
        <is>
          <t>Piège</t>
        </is>
      </c>
      <c r="D23" s="13" t="inlineStr">
        <is>
          <t>Appel à la sobriété individuelle volontaire</t>
        </is>
      </c>
      <c r="E23" s="12" t="n">
        <v>1</v>
      </c>
      <c r="F23" s="12" t="inlineStr">
        <is>
          <t>Écarté</t>
        </is>
      </c>
      <c r="G23" s="13" t="inlineStr">
        <is>
          <t>Fusionné dans P03 (geste individuel) — même mécanisme d'évitement</t>
        </is>
      </c>
      <c r="H23" s="13" t="inlineStr">
        <is>
          <t>Écarté — fusionné en août</t>
        </is>
      </c>
      <c r="I23" s="13" t="inlineStr">
        <is>
          <t>Fusion décidée le 17 août 2026 et maintenue : voir le motif d'origine.</t>
        </is>
      </c>
      <c r="J23" s="13" t="inlineStr">
        <is>
          <t>Écart entre campagnes de sensibilisation et évolution réelle des consommations</t>
        </is>
      </c>
    </row>
    <row r="24">
      <c r="A24" s="12" t="inlineStr">
        <is>
          <t>T03</t>
        </is>
      </c>
      <c r="B24" s="12" t="inlineStr">
        <is>
          <t>Attentiste</t>
        </is>
      </c>
      <c r="C24" s="12" t="inlineStr">
        <is>
          <t>Discours</t>
        </is>
      </c>
      <c r="D24" s="13" t="inlineStr">
        <is>
          <t>Excuse du passager clandestin</t>
        </is>
      </c>
      <c r="E24" s="12" t="n">
        <v>3</v>
      </c>
      <c r="F24" s="12" t="inlineStr">
        <is>
          <t>Écarté</t>
        </is>
      </c>
      <c r="G24" s="13" t="inlineStr">
        <is>
          <t>Fusionné dans T02 (whataboutisme) — même argument, même effet</t>
        </is>
      </c>
      <c r="H24" s="13" t="inlineStr">
        <is>
          <t>Écarté — fusionné en août</t>
        </is>
      </c>
      <c r="I24" s="13" t="inlineStr">
        <is>
          <t>Fusion décidée le 17 août 2026 et maintenue : voir le motif d'origine.</t>
        </is>
      </c>
      <c r="J24" s="13" t="inlineStr">
        <is>
          <t>Argument central des refus de tarification carbone nationale</t>
        </is>
      </c>
    </row>
    <row r="25">
      <c r="A25" s="12" t="inlineStr">
        <is>
          <t>T06</t>
        </is>
      </c>
      <c r="B25" s="12" t="inlineStr">
        <is>
          <t>Attentiste</t>
        </is>
      </c>
      <c r="C25" s="12" t="inlineStr">
        <is>
          <t>Discours</t>
        </is>
      </c>
      <c r="D25" s="13" t="inlineStr">
        <is>
          <t>Volontariat plutôt que contrainte</t>
        </is>
      </c>
      <c r="E25" s="12" t="n">
        <v>4</v>
      </c>
      <c r="F25" s="12" t="inlineStr">
        <is>
          <t>À tester</t>
        </is>
      </c>
      <c r="G25" s="13" t="inlineStr">
        <is>
          <t>Extension · redondant avec T07 dans le noyau</t>
        </is>
      </c>
      <c r="H25" s="13" t="inlineStr">
        <is>
          <t>Écarté — redondance</t>
        </is>
      </c>
      <c r="I25" s="13" t="inlineStr">
        <is>
          <t>Le jeu produit déjà la même décision par une autre carte.</t>
        </is>
      </c>
      <c r="J25" s="13" t="inlineStr">
        <is>
          <t>Chartes et accords sectoriels volontaires substitués aux normes</t>
        </is>
      </c>
    </row>
    <row r="26">
      <c r="A26" s="12" t="inlineStr">
        <is>
          <t>T12</t>
        </is>
      </c>
      <c r="B26" s="12" t="inlineStr">
        <is>
          <t>Attentiste</t>
        </is>
      </c>
      <c r="C26" s="12" t="inlineStr">
        <is>
          <t>Discours</t>
        </is>
      </c>
      <c r="D26" s="13" t="inlineStr">
        <is>
          <t>Impossibilité du changement social</t>
        </is>
      </c>
      <c r="E26" s="12" t="n">
        <v>3</v>
      </c>
      <c r="F26" s="12" t="inlineStr">
        <is>
          <t>Écarté</t>
        </is>
      </c>
      <c r="G26" s="13" t="inlineStr">
        <is>
          <t>Fusionné dans T11 (fatalisme) — même effet sur le soutien perçu</t>
        </is>
      </c>
      <c r="H26" s="13" t="inlineStr">
        <is>
          <t>Écarté — fusionné en août</t>
        </is>
      </c>
      <c r="I26" s="13" t="inlineStr">
        <is>
          <t>Fusion décidée le 17 août 2026 et maintenue : voir le motif d'origine.</t>
        </is>
      </c>
      <c r="J26" s="13" t="inlineStr">
        <is>
          <t>Argument de sens commun mobilisé contre toute mesure structurelle</t>
        </is>
      </c>
    </row>
    <row r="27">
      <c r="A27" s="12" t="inlineStr">
        <is>
          <t>T15</t>
        </is>
      </c>
      <c r="B27" s="12" t="inlineStr">
        <is>
          <t>Attentiste</t>
        </is>
      </c>
      <c r="C27" s="12" t="inlineStr">
        <is>
          <t>Institutionnel</t>
        </is>
      </c>
      <c r="D27" s="13" t="inlineStr">
        <is>
          <t>Portes tournantes</t>
        </is>
      </c>
      <c r="E27" s="12" t="n">
        <v>4</v>
      </c>
      <c r="F27" s="12" t="inlineStr">
        <is>
          <t>Écarté</t>
        </is>
      </c>
      <c r="G27" s="13" t="inlineStr">
        <is>
          <t>Fusionné dans T17 (capture réglementaire) — les portes tournantes en sont le moyen, pas un levier distinct</t>
        </is>
      </c>
      <c r="H27" s="13" t="inlineStr">
        <is>
          <t>Écarté — fusionné en août</t>
        </is>
      </c>
      <c r="I27" s="13" t="inlineStr">
        <is>
          <t>Fusion décidée le 17 août 2026 et maintenue : voir le motif d'origine.</t>
        </is>
      </c>
      <c r="J27" s="13" t="inlineStr">
        <is>
          <t>Circulation entre agences énergétiques et industrie</t>
        </is>
      </c>
    </row>
    <row r="28">
      <c r="A28" s="12" t="inlineStr">
        <is>
          <t>T16</t>
        </is>
      </c>
      <c r="B28" s="12" t="inlineStr">
        <is>
          <t>Attentiste</t>
        </is>
      </c>
      <c r="C28" s="12" t="inlineStr">
        <is>
          <t>Institutionnel</t>
        </is>
      </c>
      <c r="D28" s="13" t="inlineStr">
        <is>
          <t>Rédaction du texte à la place du législateur</t>
        </is>
      </c>
      <c r="E28" s="12" t="n">
        <v>4</v>
      </c>
      <c r="F28" s="12" t="inlineStr">
        <is>
          <t>Écarté</t>
        </is>
      </c>
      <c r="G28" s="13" t="inlineStr">
        <is>
          <t>Fusionné dans T17 et T20 — la rédaction du texte est une modalité de la capture</t>
        </is>
      </c>
      <c r="H28" s="13" t="inlineStr">
        <is>
          <t>Écarté — fusionné en août</t>
        </is>
      </c>
      <c r="I28" s="13" t="inlineStr">
        <is>
          <t>Fusion décidée le 17 août 2026 et maintenue : voir le motif d'origine.</t>
        </is>
      </c>
      <c r="J28" s="13" t="inlineStr">
        <is>
          <t>Model bills diffusés par des organisations comme ALEC aux États-Unis</t>
        </is>
      </c>
    </row>
    <row r="29">
      <c r="A29" s="12" t="inlineStr">
        <is>
          <t>T29</t>
        </is>
      </c>
      <c r="B29" s="12" t="inlineStr">
        <is>
          <t>Attentiste</t>
        </is>
      </c>
      <c r="C29" s="12" t="inlineStr">
        <is>
          <t>Narratif</t>
        </is>
      </c>
      <c r="D29" s="13" t="inlineStr">
        <is>
          <t>Financement de think tanks</t>
        </is>
      </c>
      <c r="E29" s="12" t="n">
        <v>4</v>
      </c>
      <c r="F29" s="12" t="inlineStr">
        <is>
          <t>À tester</t>
        </is>
      </c>
      <c r="G29" s="13" t="inlineStr">
        <is>
          <t>Extension · infrastructure permanente plutôt que coup ponctuel — modéliser comme une amélioration, pas une carte</t>
        </is>
      </c>
      <c r="H29" s="13" t="inlineStr">
        <is>
          <t>Écarté — risque de jeu</t>
        </is>
      </c>
      <c r="I29" s="13" t="inlineStr">
        <is>
          <t>Rendrait la partie passive, exige une mécanique absente du moteur, ou repose sur une base empirique trop mince.</t>
        </is>
      </c>
      <c r="J29" s="13" t="inlineStr">
        <is>
          <t>Réseau documenté de fondations et de think tanks anti-régulation depuis les années 1990</t>
        </is>
      </c>
    </row>
    <row r="30">
      <c r="A30" s="12" t="inlineStr">
        <is>
          <t>T32</t>
        </is>
      </c>
      <c r="B30" s="12" t="inlineStr">
        <is>
          <t>Attentiste</t>
        </is>
      </c>
      <c r="C30" s="12" t="inlineStr">
        <is>
          <t>Narratif</t>
        </is>
      </c>
      <c r="D30" s="13" t="inlineStr">
        <is>
          <t>Sponsoring culturel et sportif</t>
        </is>
      </c>
      <c r="E30" s="12" t="n">
        <v>2</v>
      </c>
      <c r="F30" s="12" t="inlineStr">
        <is>
          <t>Écarté</t>
        </is>
      </c>
      <c r="G30" s="13" t="inlineStr">
        <is>
          <t>Puissance 2 et redondant avec T31 (greenwashing). Coupe utile</t>
        </is>
      </c>
      <c r="H30" s="13" t="inlineStr">
        <is>
          <t>Écarté — fusionné en août</t>
        </is>
      </c>
      <c r="I30" s="13" t="inlineStr">
        <is>
          <t>Fusion décidée le 17 août 2026 et maintenue : voir le motif d'origine.</t>
        </is>
      </c>
      <c r="J30" s="13" t="inlineStr">
        <is>
          <t>Sponsoring de musées, de festivals et de compétitions par des groupes fossiles</t>
        </is>
      </c>
    </row>
    <row r="31">
      <c r="A31" s="12" t="inlineStr">
        <is>
          <t>T34</t>
        </is>
      </c>
      <c r="B31" s="12" t="inlineStr">
        <is>
          <t>Attentiste</t>
        </is>
      </c>
      <c r="C31" s="12" t="inlineStr">
        <is>
          <t>Narratif</t>
        </is>
      </c>
      <c r="D31" s="13" t="inlineStr">
        <is>
          <t>Financement de recherche orientée</t>
        </is>
      </c>
      <c r="E31" s="12" t="n">
        <v>2</v>
      </c>
      <c r="F31" s="12" t="inlineStr">
        <is>
          <t>Écarté</t>
        </is>
      </c>
      <c r="G31" s="13" t="inlineStr">
        <is>
          <t>Écarté volontairement : reproduire du financement de recherche orientée fabrique du contenu pseudo-scientifique dans le jeu. Risque supérieur au bénéfice</t>
        </is>
      </c>
      <c r="H31" s="13" t="inlineStr">
        <is>
          <t>Écarté — fusionné en août</t>
        </is>
      </c>
      <c r="I31" s="13" t="inlineStr">
        <is>
          <t>Fusion décidée le 17 août 2026 et maintenue : voir le motif d'origine.</t>
        </is>
      </c>
      <c r="J31" s="13" t="inlineStr">
        <is>
          <t>Financements industriels de travaux sur les coûts de la transition</t>
        </is>
      </c>
    </row>
    <row r="32">
      <c r="A32" s="12" t="inlineStr">
        <is>
          <t>T35</t>
        </is>
      </c>
      <c r="B32" s="12" t="inlineStr">
        <is>
          <t>Attentiste</t>
        </is>
      </c>
      <c r="C32" s="12" t="inlineStr">
        <is>
          <t>Narratif</t>
        </is>
      </c>
      <c r="D32" s="13" t="inlineStr">
        <is>
          <t>Amplification algorithmique</t>
        </is>
      </c>
      <c r="E32" s="12" t="n">
        <v>4</v>
      </c>
      <c r="F32" s="12" t="inlineStr">
        <is>
          <t>À tester</t>
        </is>
      </c>
      <c r="G32" s="13" t="inlineStr">
        <is>
          <t>Extension · levier récent, encore mal cadré empiriquement</t>
        </is>
      </c>
      <c r="H32" s="13" t="inlineStr">
        <is>
          <t>Écarté — risque de jeu</t>
        </is>
      </c>
      <c r="I32" s="13" t="inlineStr">
        <is>
          <t>Rendrait la partie passive, exige une mécanique absente du moteur, ou repose sur une base empirique trop mince.</t>
        </is>
      </c>
      <c r="J32" s="13" t="inlineStr">
        <is>
          <t>Travaux sur la diffusion des contenus climatosceptiques sur les plateformes</t>
        </is>
      </c>
    </row>
    <row r="33">
      <c r="A33" s="12" t="inlineStr">
        <is>
          <t>T37</t>
        </is>
      </c>
      <c r="B33" s="12" t="inlineStr">
        <is>
          <t>Attentiste</t>
        </is>
      </c>
      <c r="C33" s="12" t="inlineStr">
        <is>
          <t>Narratif</t>
        </is>
      </c>
      <c r="D33" s="13" t="inlineStr">
        <is>
          <t>Attaque personnalisée</t>
        </is>
      </c>
      <c r="E33" s="12" t="n">
        <v>3</v>
      </c>
      <c r="F33" s="12" t="inlineStr">
        <is>
          <t>À tester</t>
        </is>
      </c>
      <c r="G33" s="13" t="inlineStr">
        <is>
          <t>Extension · détruit une source de crédibilité adverse — vérifier que ça ne rend pas A54 inutile</t>
        </is>
      </c>
      <c r="H33" s="13" t="inlineStr">
        <is>
          <t>Écarté — redondance</t>
        </is>
      </c>
      <c r="I33" s="13" t="inlineStr">
        <is>
          <t>Le jeu produit déjà la même décision par une autre carte.</t>
        </is>
      </c>
      <c r="J33" s="13" t="inlineStr">
        <is>
          <t>Campagnes contre des climatologues depuis le Climategate (2009)</t>
        </is>
      </c>
    </row>
    <row r="34">
      <c r="A34" s="12" t="inlineStr">
        <is>
          <t>T42</t>
        </is>
      </c>
      <c r="B34" s="12" t="inlineStr">
        <is>
          <t>Attentiste</t>
        </is>
      </c>
      <c r="C34" s="12" t="inlineStr">
        <is>
          <t>Narratif</t>
        </is>
      </c>
      <c r="D34" s="13" t="inlineStr">
        <is>
          <t>Récupération du vocabulaire</t>
        </is>
      </c>
      <c r="E34" s="12" t="n">
        <v>4</v>
      </c>
      <c r="F34" s="12" t="inlineStr">
        <is>
          <t>À tester</t>
        </is>
      </c>
      <c r="G34" s="13" t="inlineStr">
        <is>
          <t>Extension · rend le discours adverse indistinguable du sien : réintégrer si le noyau narratif manque de subtilité</t>
        </is>
      </c>
      <c r="H34" s="13" t="inlineStr">
        <is>
          <t>Écarté — redondance</t>
        </is>
      </c>
      <c r="I34" s="13" t="inlineStr">
        <is>
          <t>Le jeu produit déjà la même décision par une autre carte.</t>
        </is>
      </c>
      <c r="J34" s="13" t="inlineStr">
        <is>
          <t>Généralisation des engagements net zéro sans plan de réduction</t>
        </is>
      </c>
    </row>
    <row r="35">
      <c r="A35" s="12" t="inlineStr">
        <is>
          <t>T47</t>
        </is>
      </c>
      <c r="B35" s="12" t="inlineStr">
        <is>
          <t>Attentiste</t>
        </is>
      </c>
      <c r="C35" s="12" t="inlineStr">
        <is>
          <t>Économique</t>
        </is>
      </c>
      <c r="D35" s="13" t="inlineStr">
        <is>
          <t>Rachat d'actions plutôt qu'investissement</t>
        </is>
      </c>
      <c r="E35" s="12" t="n">
        <v>3</v>
      </c>
      <c r="F35" s="12" t="inlineStr">
        <is>
          <t>À tester</t>
        </is>
      </c>
      <c r="G35" s="13" t="inlineStr">
        <is>
          <t>Extension · retire du capital du jeu plutôt que de le transformer</t>
        </is>
      </c>
      <c r="H35" s="13" t="inlineStr">
        <is>
          <t>Écarté — redondance</t>
        </is>
      </c>
      <c r="I35" s="13" t="inlineStr">
        <is>
          <t>Le jeu produit déjà la même décision par une autre carte.</t>
        </is>
      </c>
      <c r="J35" s="13" t="inlineStr">
        <is>
          <t>Records de rachats d'actions des majors pétrolières en 2022-2023</t>
        </is>
      </c>
    </row>
  </sheetData>
  <autoFilter ref="A1:J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12" customWidth="1" min="1" max="1"/>
    <col width="12" customWidth="1" min="2" max="2"/>
    <col width="44" customWidth="1" min="3" max="3"/>
    <col width="72" customWidth="1" min="4" max="4"/>
  </cols>
  <sheetData>
    <row r="1" ht="30" customHeight="1">
      <c r="A1" s="5" t="inlineStr">
        <is>
          <t>ID catalogue</t>
        </is>
      </c>
      <c r="B1" s="5" t="inlineStr">
        <is>
          <t>ID dans le jeu</t>
        </is>
      </c>
      <c r="C1" s="5" t="inlineStr">
        <is>
          <t>Levier</t>
        </is>
      </c>
      <c r="D1" s="5" t="inlineStr">
        <is>
          <t>Pourquoi l'identifiant a changé</t>
        </is>
      </c>
    </row>
    <row r="2">
      <c r="A2" s="12" t="inlineStr">
        <is>
          <t>P01</t>
        </is>
      </c>
      <c r="B2" s="12" t="inlineStr">
        <is>
          <t>A22</t>
        </is>
      </c>
      <c r="C2" s="13" t="inlineStr">
        <is>
          <t>Compensation carbone volontaire</t>
        </is>
      </c>
      <c r="D2" s="13" t="inlineStr">
        <is>
          <t>Piège renuméroté dans la série A en v0.5 : un identifiant commençant par P annonçait le piège au joueur.</t>
        </is>
      </c>
    </row>
    <row r="3">
      <c r="A3" s="12" t="inlineStr">
        <is>
          <t>P04</t>
        </is>
      </c>
      <c r="B3" s="12" t="inlineStr">
        <is>
          <t>A42</t>
        </is>
      </c>
      <c r="C3" s="13" t="inlineStr">
        <is>
          <t>Hydrogène pour la voiture particulière</t>
        </is>
      </c>
      <c r="D3" s="13" t="inlineStr">
        <is>
          <t>idem</t>
        </is>
      </c>
    </row>
    <row r="4">
      <c r="A4" s="12" t="inlineStr">
        <is>
          <t>P05</t>
        </is>
      </c>
      <c r="B4" s="12" t="inlineStr">
        <is>
          <t>A43</t>
        </is>
      </c>
      <c r="C4" s="13" t="inlineStr">
        <is>
          <t>Carburants de synthèse pour l'automobile</t>
        </is>
      </c>
      <c r="D4" s="13" t="inlineStr">
        <is>
          <t>idem</t>
        </is>
      </c>
    </row>
    <row r="5">
      <c r="A5" s="12" t="inlineStr">
        <is>
          <t>P07</t>
        </is>
      </c>
      <c r="B5" s="12" t="inlineStr">
        <is>
          <t>A38</t>
        </is>
      </c>
      <c r="C5" s="13" t="inlineStr">
        <is>
          <t>Captage et stockage sur centrale électrique</t>
        </is>
      </c>
      <c r="D5" s="13" t="inlineStr">
        <is>
          <t>idem</t>
        </is>
      </c>
    </row>
    <row r="6">
      <c r="A6" s="12" t="inlineStr">
        <is>
          <t>P08</t>
        </is>
      </c>
      <c r="B6" s="12" t="inlineStr">
        <is>
          <t>A09</t>
        </is>
      </c>
      <c r="C6" s="13" t="inlineStr">
        <is>
          <t>Objectif net zéro 2050</t>
        </is>
      </c>
      <c r="D6" s="13" t="inlineStr">
        <is>
          <t>idem</t>
        </is>
      </c>
    </row>
    <row r="7">
      <c r="A7" s="12" t="inlineStr">
        <is>
          <t>P10</t>
        </is>
      </c>
      <c r="B7" s="12" t="inlineStr">
        <is>
          <t>A26</t>
        </is>
      </c>
      <c r="C7" s="13" t="inlineStr">
        <is>
          <t>Programme nucléaire accéléré</t>
        </is>
      </c>
      <c r="D7" s="13" t="inlineStr">
        <is>
          <t>idem</t>
        </is>
      </c>
    </row>
    <row r="8">
      <c r="A8" s="12" t="inlineStr">
        <is>
          <t>A38</t>
        </is>
      </c>
      <c r="B8" s="12" t="inlineStr">
        <is>
          <t>A70</t>
        </is>
      </c>
      <c r="C8" s="13" t="inlineStr">
        <is>
          <t>Contentieux en responsabilité fondé sur l'attribution</t>
        </is>
      </c>
      <c r="D8" s="13" t="inlineStr">
        <is>
          <t>Intégré en v0.9 ; l'identifiant A38 était déjà pris par le piège ex-P07.</t>
        </is>
      </c>
    </row>
    <row r="9">
      <c r="A9" s="12" t="inlineStr">
        <is>
          <t>A22</t>
        </is>
      </c>
      <c r="B9" s="12" t="inlineStr">
        <is>
          <t>A73</t>
        </is>
      </c>
      <c r="C9" s="13" t="inlineStr">
        <is>
          <t>Fin du financement public à l'export des fossiles</t>
        </is>
      </c>
      <c r="D9" s="13" t="inlineStr">
        <is>
          <t>Intégré en v0.9.1 ; l'identifiant A22 était déjà pris par le piège ex-P01.</t>
        </is>
      </c>
    </row>
    <row r="10">
      <c r="A10" s="12" t="inlineStr">
        <is>
          <t>P09</t>
        </is>
      </c>
      <c r="B10" s="12" t="inlineStr">
        <is>
          <t>T68</t>
        </is>
      </c>
      <c r="C10" s="13" t="inlineStr">
        <is>
          <t>Géo-ingénierie solaire à l'étude</t>
        </is>
      </c>
      <c r="D10" s="13" t="inlineStr">
        <is>
          <t>Écrit en v0.7 comme levier attentiste plutôt que comme piège.</t>
        </is>
      </c>
    </row>
    <row r="11">
      <c r="A11" s="12" t="inlineStr">
        <is>
          <t>T14</t>
        </is>
      </c>
      <c r="B11" s="12" t="inlineStr">
        <is>
          <t>T62</t>
        </is>
      </c>
      <c r="C11" s="13" t="inlineStr">
        <is>
          <t>Financement de campagne</t>
        </is>
      </c>
      <c r="D11" s="13" t="inlineStr">
        <is>
          <t>Recouvert par T62, écrit en v0.7 : même ancrage, mécanique plus nette.</t>
        </is>
      </c>
    </row>
    <row r="12">
      <c r="A12" s="12" t="inlineStr">
        <is>
          <t>A26</t>
        </is>
      </c>
      <c r="B12" s="12" t="inlineStr">
        <is>
          <t>—</t>
        </is>
      </c>
      <c r="C12" s="13" t="inlineStr">
        <is>
          <t>Actionnariat actif et résolutions climat</t>
        </is>
      </c>
      <c r="D12" s="13" t="inlineStr">
        <is>
          <t>Devenu un événement du jeu en v0.9 : non reproductible à volonté.</t>
        </is>
      </c>
    </row>
    <row r="13">
      <c r="A13" s="12" t="inlineStr">
        <is>
          <t>A55</t>
        </is>
      </c>
      <c r="B13" s="12" t="inlineStr">
        <is>
          <t>—</t>
        </is>
      </c>
      <c r="C13" s="13" t="inlineStr">
        <is>
          <t>Lanceur d'alerte</t>
        </is>
      </c>
      <c r="D13" s="13" t="inlineStr">
        <is>
          <t>Devenu un événement du jeu en v0.9 : non reproductible à volonté.</t>
        </is>
      </c>
    </row>
    <row r="14">
      <c r="A14" s="12" t="inlineStr">
        <is>
          <t>P11</t>
        </is>
      </c>
      <c r="B14" s="12" t="inlineStr">
        <is>
          <t>—</t>
        </is>
      </c>
      <c r="C14" s="13" t="inlineStr">
        <is>
          <t>Sommet international sans mécanisme contraignant</t>
        </is>
      </c>
      <c r="D14" s="13" t="inlineStr">
        <is>
          <t>Était déjà un événement du jeu depuis l'origine (Sommet international).</t>
        </is>
      </c>
    </row>
    <row r="16">
      <c r="A16" s="14" t="inlineStr">
        <is>
          <t>Six identifiants de la série A désignent, dans le jeu, un piège différent du levier qu'ils nomment dans le catalogue d'août. Toute lecture croisée des deux fichiers doit passer par cette table.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42" customWidth="1" min="1" max="1"/>
    <col width="16" customWidth="1" min="2" max="2"/>
    <col width="16" customWidth="1" min="3" max="3"/>
    <col width="60" customWidth="1" min="4" max="4"/>
  </cols>
  <sheetData>
    <row r="1">
      <c r="A1" s="15" t="inlineStr">
        <is>
          <t>Contrôles du catalogue</t>
        </is>
      </c>
    </row>
    <row r="2">
      <c r="A2" s="14" t="inlineStr">
        <is>
          <t>Colonne B : formule, recalculée à l'ouverture du fichier. Colonne C : la même valeur au moment de la génération.</t>
        </is>
      </c>
    </row>
    <row r="3">
      <c r="A3" s="14" t="inlineStr">
        <is>
          <t>Les deux colonnes doivent coïncider. Un écart signale que le catalogue a été édité à la main depuis sa génération.</t>
        </is>
      </c>
    </row>
    <row r="5">
      <c r="A5" s="16" t="inlineStr">
        <is>
          <t>Répartition par camp</t>
        </is>
      </c>
    </row>
    <row r="7">
      <c r="A7" s="17" t="inlineStr">
        <is>
          <t>Actif</t>
        </is>
      </c>
      <c r="B7" s="17">
        <f>COUNTIF(Catalogue!$B$2:$B$113,"Actif")</f>
        <v/>
      </c>
      <c r="C7" s="14" t="n">
        <v>57</v>
      </c>
    </row>
    <row r="8">
      <c r="A8" s="17" t="inlineStr">
        <is>
          <t>Attentiste</t>
        </is>
      </c>
      <c r="B8" s="17">
        <f>COUNTIF(Catalogue!$B$2:$B$113,"Attentiste")</f>
        <v/>
      </c>
      <c r="C8" s="14" t="n">
        <v>55</v>
      </c>
    </row>
    <row r="9">
      <c r="A9" s="17" t="inlineStr">
        <is>
          <t>dont pièges</t>
        </is>
      </c>
      <c r="B9" s="17">
        <f>COUNTIF(Catalogue!$R$2:$R$113,"oui")</f>
        <v/>
      </c>
      <c r="C9" s="14" t="n">
        <v>8</v>
      </c>
    </row>
    <row r="10">
      <c r="A10" s="17" t="inlineStr">
        <is>
          <t>Total des leviers</t>
        </is>
      </c>
      <c r="B10" s="17">
        <f>COUNTA(Catalogue!$A$2:$A$113)</f>
        <v/>
      </c>
      <c r="C10" s="14" t="n">
        <v>112</v>
      </c>
    </row>
    <row r="12">
      <c r="A12" s="16" t="inlineStr">
        <is>
          <t>Répartition par famille</t>
        </is>
      </c>
    </row>
    <row r="14">
      <c r="A14" s="17" t="inlineStr">
        <is>
          <t>Discours — Attentiste</t>
        </is>
      </c>
      <c r="B14" s="17">
        <f>COUNTIFS(Catalogue!$C$2:$C$113,"Discours",Catalogue!$B$2:$B$113,"Attentiste")</f>
        <v/>
      </c>
      <c r="C14" s="14" t="n">
        <v>8</v>
      </c>
    </row>
    <row r="15">
      <c r="A15" s="17" t="inlineStr">
        <is>
          <t>Institutionnel — Attentiste</t>
        </is>
      </c>
      <c r="B15" s="17">
        <f>COUNTIFS(Catalogue!$C$2:$C$113,"Institutionnel",Catalogue!$B$2:$B$113,"Attentiste")</f>
        <v/>
      </c>
      <c r="C15" s="14" t="n">
        <v>7</v>
      </c>
    </row>
    <row r="16">
      <c r="A16" s="17" t="inlineStr">
        <is>
          <t>International — Actif</t>
        </is>
      </c>
      <c r="B16" s="17">
        <f>COUNTIFS(Catalogue!$C$2:$C$113,"International",Catalogue!$B$2:$B$113,"Actif")</f>
        <v/>
      </c>
      <c r="C16" s="14" t="n">
        <v>5</v>
      </c>
    </row>
    <row r="17">
      <c r="A17" s="17" t="inlineStr">
        <is>
          <t>International — Attentiste</t>
        </is>
      </c>
      <c r="B17" s="17">
        <f>COUNTIFS(Catalogue!$C$2:$C$113,"International",Catalogue!$B$2:$B$113,"Attentiste")</f>
        <v/>
      </c>
      <c r="C17" s="14" t="n">
        <v>6</v>
      </c>
    </row>
    <row r="18">
      <c r="A18" s="17" t="inlineStr">
        <is>
          <t>Judiciaire — Actif</t>
        </is>
      </c>
      <c r="B18" s="17">
        <f>COUNTIFS(Catalogue!$C$2:$C$113,"Judiciaire",Catalogue!$B$2:$B$113,"Actif")</f>
        <v/>
      </c>
      <c r="C18" s="14" t="n">
        <v>5</v>
      </c>
    </row>
    <row r="19">
      <c r="A19" s="17" t="inlineStr">
        <is>
          <t>Judiciaire — Attentiste</t>
        </is>
      </c>
      <c r="B19" s="17">
        <f>COUNTIFS(Catalogue!$C$2:$C$113,"Judiciaire",Catalogue!$B$2:$B$113,"Attentiste")</f>
        <v/>
      </c>
      <c r="C19" s="14" t="n">
        <v>5</v>
      </c>
    </row>
    <row r="20">
      <c r="A20" s="17" t="inlineStr">
        <is>
          <t>Narratif — Actif</t>
        </is>
      </c>
      <c r="B20" s="17">
        <f>COUNTIFS(Catalogue!$C$2:$C$113,"Narratif",Catalogue!$B$2:$B$113,"Actif")</f>
        <v/>
      </c>
      <c r="C20" s="14" t="n">
        <v>8</v>
      </c>
    </row>
    <row r="21">
      <c r="A21" s="17" t="inlineStr">
        <is>
          <t>Narratif — Attentiste</t>
        </is>
      </c>
      <c r="B21" s="17">
        <f>COUNTIFS(Catalogue!$C$2:$C$113,"Narratif",Catalogue!$B$2:$B$113,"Attentiste")</f>
        <v/>
      </c>
      <c r="C21" s="14" t="n">
        <v>8</v>
      </c>
    </row>
    <row r="22">
      <c r="A22" s="17" t="inlineStr">
        <is>
          <t>Réglementaire — Actif</t>
        </is>
      </c>
      <c r="B22" s="17">
        <f>COUNTIFS(Catalogue!$C$2:$C$113,"Réglementaire",Catalogue!$B$2:$B$113,"Actif")</f>
        <v/>
      </c>
      <c r="C22" s="14" t="n">
        <v>13</v>
      </c>
    </row>
    <row r="23">
      <c r="A23" s="17" t="inlineStr">
        <is>
          <t>Réglementaire — Attentiste</t>
        </is>
      </c>
      <c r="B23" s="17">
        <f>COUNTIFS(Catalogue!$C$2:$C$113,"Réglementaire",Catalogue!$B$2:$B$113,"Attentiste")</f>
        <v/>
      </c>
      <c r="C23" s="14" t="n">
        <v>3</v>
      </c>
    </row>
    <row r="24">
      <c r="A24" s="17" t="inlineStr">
        <is>
          <t>Technologique — Actif</t>
        </is>
      </c>
      <c r="B24" s="17">
        <f>COUNTIFS(Catalogue!$C$2:$C$113,"Technologique",Catalogue!$B$2:$B$113,"Actif")</f>
        <v/>
      </c>
      <c r="C24" s="14" t="n">
        <v>10</v>
      </c>
    </row>
    <row r="25">
      <c r="A25" s="17" t="inlineStr">
        <is>
          <t>Technologique — Attentiste</t>
        </is>
      </c>
      <c r="B25" s="17">
        <f>COUNTIFS(Catalogue!$C$2:$C$113,"Technologique",Catalogue!$B$2:$B$113,"Attentiste")</f>
        <v/>
      </c>
      <c r="C25" s="14" t="n">
        <v>4</v>
      </c>
    </row>
    <row r="26">
      <c r="A26" s="17" t="inlineStr">
        <is>
          <t>Économique — Actif</t>
        </is>
      </c>
      <c r="B26" s="17">
        <f>COUNTIFS(Catalogue!$C$2:$C$113,"Économique",Catalogue!$B$2:$B$113,"Actif")</f>
        <v/>
      </c>
      <c r="C26" s="14" t="n">
        <v>10</v>
      </c>
    </row>
    <row r="27">
      <c r="A27" s="17" t="inlineStr">
        <is>
          <t>Économique — Attentiste</t>
        </is>
      </c>
      <c r="B27" s="17">
        <f>COUNTIFS(Catalogue!$C$2:$C$113,"Économique",Catalogue!$B$2:$B$113,"Attentiste")</f>
        <v/>
      </c>
      <c r="C27" s="14" t="n">
        <v>10</v>
      </c>
    </row>
    <row r="28">
      <c r="A28" s="17" t="inlineStr">
        <is>
          <t>Électoral — Actif</t>
        </is>
      </c>
      <c r="B28" s="17">
        <f>COUNTIFS(Catalogue!$C$2:$C$113,"Électoral",Catalogue!$B$2:$B$113,"Actif")</f>
        <v/>
      </c>
      <c r="C28" s="14" t="n">
        <v>6</v>
      </c>
    </row>
    <row r="29">
      <c r="A29" s="17" t="inlineStr">
        <is>
          <t>Électoral — Attentiste</t>
        </is>
      </c>
      <c r="B29" s="17">
        <f>COUNTIFS(Catalogue!$C$2:$C$113,"Électoral",Catalogue!$B$2:$B$113,"Attentiste")</f>
        <v/>
      </c>
      <c r="C29" s="14" t="n">
        <v>4</v>
      </c>
    </row>
    <row r="31">
      <c r="A31" s="16" t="inlineStr">
        <is>
          <t>Ouverture par époque</t>
        </is>
      </c>
    </row>
    <row r="33">
      <c r="A33" s="17" t="inlineStr">
        <is>
          <t>Époque 1 — à partir de 2015</t>
        </is>
      </c>
      <c r="B33" s="17">
        <f>COUNTIF(Catalogue!$L$2:$L$113,1)</f>
        <v/>
      </c>
      <c r="C33" s="14" t="n">
        <v>49</v>
      </c>
    </row>
    <row r="34">
      <c r="A34" s="17" t="inlineStr">
        <is>
          <t>Époque 2 — à partir de 2035</t>
        </is>
      </c>
      <c r="B34" s="17">
        <f>COUNTIF(Catalogue!$L$2:$L$113,2)</f>
        <v/>
      </c>
      <c r="C34" s="14" t="n">
        <v>39</v>
      </c>
    </row>
    <row r="35">
      <c r="A35" s="17" t="inlineStr">
        <is>
          <t>Époque 3 — à partir de 2055</t>
        </is>
      </c>
      <c r="B35" s="17">
        <f>COUNTIF(Catalogue!$L$2:$L$113,3)</f>
        <v/>
      </c>
      <c r="C35" s="14" t="n">
        <v>24</v>
      </c>
    </row>
    <row r="37">
      <c r="A37" s="16" t="inlineStr">
        <is>
          <t>Cohérence des contre-leviers</t>
        </is>
      </c>
    </row>
    <row r="39">
      <c r="A39" s="17" t="inlineStr">
        <is>
          <t>Leviers sans contre-levier désigné</t>
        </is>
      </c>
      <c r="B39" s="17">
        <f>COUNTBLANK(Catalogue!$Q$2:$Q$113)</f>
        <v/>
      </c>
      <c r="C39" s="14" t="n">
        <v>2</v>
      </c>
      <c r="D39" s="14" t="inlineStr">
        <is>
          <t>Sans contre : A71, T38</t>
        </is>
      </c>
    </row>
    <row r="40">
      <c r="A40" s="17" t="inlineStr">
        <is>
          <t>Contre-leviers pointant hors du jeu</t>
        </is>
      </c>
      <c r="B40" s="17" t="n">
        <v>0</v>
      </c>
      <c r="C40" s="14" t="n">
        <v>0</v>
      </c>
      <c r="D40" s="14" t="inlineStr">
        <is>
          <t>Orphelins : aucun — vérifié en Python, aucune formule ne peut le faire.</t>
        </is>
      </c>
    </row>
    <row r="42">
      <c r="A42" s="16" t="inlineStr">
        <is>
          <t>Puissance réelle (colonne à remplir)</t>
        </is>
      </c>
    </row>
    <row r="44">
      <c r="A44" s="17" t="inlineStr">
        <is>
          <t>Leviers dont la puissance a été estimée en août</t>
        </is>
      </c>
      <c r="B44" s="17">
        <f>COUNT(Catalogue!$T$2:$T$113)</f>
        <v/>
      </c>
      <c r="C44" s="14" t="n">
        <v>97</v>
      </c>
    </row>
    <row r="45">
      <c r="A45" s="17" t="inlineStr">
        <is>
          <t>Leviers sans estimation (cellules jaunes)</t>
        </is>
      </c>
      <c r="B45" s="17">
        <f>112-COUNT(Catalogue!$T$2:$T$113)</f>
        <v/>
      </c>
      <c r="C45" s="14" t="n">
        <v>15</v>
      </c>
    </row>
    <row r="46">
      <c r="A46" s="17" t="inlineStr">
        <is>
          <t>Puissance moyenne — Actif</t>
        </is>
      </c>
      <c r="B46" s="17">
        <f>ROUND(AVERAGEIFS(Catalogue!$T$2:$T$113,Catalogue!$B$2:$B$113,"Actif"),2)</f>
        <v/>
      </c>
      <c r="C46" s="14" t="n">
        <v>3.27</v>
      </c>
      <c r="D46" s="14" t="inlineStr">
        <is>
          <t>L'asymétrie du catalogue d'août est-elle conservée ?</t>
        </is>
      </c>
    </row>
    <row r="47">
      <c r="A47" s="17" t="inlineStr">
        <is>
          <t>Puissance moyenne — Attentiste</t>
        </is>
      </c>
      <c r="B47" s="17">
        <f>ROUND(AVERAGEIFS(Catalogue!$T$2:$T$113,Catalogue!$B$2:$B$113,"Attentiste"),2)</f>
        <v/>
      </c>
      <c r="C47" s="14" t="n">
        <v>4.14</v>
      </c>
    </row>
    <row r="49">
      <c r="A49" s="16" t="inlineStr">
        <is>
          <t>Leviers du catalogue jamais construits</t>
        </is>
      </c>
    </row>
    <row r="51">
      <c r="A51" s="17" t="inlineStr">
        <is>
          <t>Total</t>
        </is>
      </c>
      <c r="B51" s="17">
        <f>COUNTA('Non retenus'!$A$2:$A$200)</f>
        <v/>
      </c>
      <c r="C51" s="14" t="n">
        <v>34</v>
      </c>
      <c r="D51" s="14" t="inlineStr">
        <is>
          <t>Chacun porte un verdict dans l'onglet Non retenus : aucun n'est laissé en suspens.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2026-08-26T15:46:51Z</dcterms:created>
  <dcterms:modified xmlns:dcterms="http://purl.org/dc/terms/" xmlns:xsi="http://www.w3.org/2001/XMLSchema-instance" xsi:type="dcterms:W3CDTF">2026-08-26T15:46:51Z</dcterms:modified>
</cp:coreProperties>
</file>