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position" sheetId="1" state="visible" r:id="rId3"/>
    <sheet name="Catalogue" sheetId="2" state="visible" r:id="rId4"/>
    <sheet name="Noyau" sheetId="3" state="visible" r:id="rId5"/>
    <sheet name="Contrôles" sheetId="4" state="visible" r:id="rId6"/>
  </sheets>
  <definedNames>
    <definedName function="false" hidden="true" localSheetId="1" name="_xlnm._FilterDatabase" vbProcedure="false">Catalogue!$A$1:$Q$135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<sst xmlns="http://schemas.openxmlformats.org/spreadsheetml/2006/main" count="2476" uniqueCount="901">
  <si>
    <t xml:space="preserve">HEAT — Proposition de sélection v1</t>
  </si>
  <si>
    <t xml:space="preserve">17 août 2026 — 134 leviers arbitrés : 75 retenus, 43 à tester, 16 écartés</t>
  </si>
  <si>
    <t xml:space="preserve">Comment lire</t>
  </si>
  <si>
    <t xml:space="preserve">Onglet Catalogue : les 134 leviers, colonne Verdict pré-remplie et colonne Motif expliquant chaque arbitrage.</t>
  </si>
  <si>
    <t xml:space="preserve">Onglet Noyau : les 75 retenus, regroupés par fonction dans la boucle de jeu.</t>
  </si>
  <si>
    <t xml:space="preserve">Onglet Contrôles : cohérence des contre-leviers, répartition, trous de couverture assumés.</t>
  </si>
  <si>
    <t xml:space="preserve">Rien n'est figé : la colonne Verdict reste modifiable, l'onglet Contrôles se recalcule.</t>
  </si>
  <si>
    <t xml:space="preserve">Règles d'arbitrage appliquées</t>
  </si>
  <si>
    <t xml:space="preserve">1. Un levier ne survit que s'il produit une DÉCISION distincte. Deux cartes au même effet = une carte.</t>
  </si>
  <si>
    <t xml:space="preserve">2. Un levier retenu doit avoir son contre-levier retenu, sinon il est imblocable ou inutile.</t>
  </si>
  <si>
    <t xml:space="preserve">3. Pas de carte sans ancrage réel daté. C'est la règle qui protège le jeu de l'accusation de propagande.</t>
  </si>
  <si>
    <t xml:space="preserve">4. Les pièges retenus vont par paire avec leur pendant légitime (A44/P07, A47/P04, A46/P10).</t>
  </si>
  <si>
    <t xml:space="preserve">5. Écarté ne veut pas dire faux : la plupart sont fusionnés dans un levier plus large ou reclassés en événement.</t>
  </si>
  <si>
    <t xml:space="preserve">Ce que donne la sélection</t>
  </si>
  <si>
    <t xml:space="preserve">38 leviers actifs, 31 attentistes, 6 pièges.</t>
  </si>
  <si>
    <t xml:space="preserve">Puissance moyenne : 3,9 côté actif contre 4,4 côté attentiste — l'asymétrie du catalogue est conservée.</t>
  </si>
  <si>
    <t xml:space="preserve">Déblocage : 34 cartes au niveau Découverte, 62 au niveau Standard, 75 au niveau Réaliste.</t>
  </si>
  <si>
    <t xml:space="preserve">Deux points à trancher</t>
  </si>
  <si>
    <t xml:space="preserve">a) Le niveau Expert n'ajoute aucune carte dans cette sélection. Candidats : A38 (contentieux en responsabilité),</t>
  </si>
  <si>
    <t xml:space="preserve">   A64 (constitutionnalisation), P09 (géoingénierie). À décider si Expert doit être un palier de contenu</t>
  </si>
  <si>
    <t xml:space="preserve">   ou seulement un palier de règles (pièges non signalés, contre-leviers tous actifs).</t>
  </si>
  <si>
    <t xml:space="preserve">b) Deux trous de couverture assumés : T31 (greenwashing) n'est contré qu'indirectement par A17, et A27</t>
  </si>
  <si>
    <t xml:space="preserve">   (retrait de l'assurance) n'a pas de contre direct dans le noyau. Voir l'onglet Contrôles.</t>
  </si>
  <si>
    <t xml:space="preserve">ID</t>
  </si>
  <si>
    <t xml:space="preserve">Camp</t>
  </si>
  <si>
    <t xml:space="preserve">Famille</t>
  </si>
  <si>
    <t xml:space="preserve">Levier</t>
  </si>
  <si>
    <t xml:space="preserve">Effet dans le jeu</t>
  </si>
  <si>
    <t xml:space="preserve">Ancrage réel (daté)</t>
  </si>
  <si>
    <t xml:space="preserve">Latence</t>
  </si>
  <si>
    <t xml:space="preserve">Ressource consommée</t>
  </si>
  <si>
    <t xml:space="preserve">Coût (1-5)</t>
  </si>
  <si>
    <t xml:space="preserve">Puissance réelle (1-5)</t>
  </si>
  <si>
    <t xml:space="preserve">Portée</t>
  </si>
  <si>
    <t xml:space="preserve">Réversibilité</t>
  </si>
  <si>
    <t xml:space="preserve">Robustesse des preuves</t>
  </si>
  <si>
    <t xml:space="preserve">Difficulté mini (1-4)</t>
  </si>
  <si>
    <t xml:space="preserve">Contre-levier</t>
  </si>
  <si>
    <t xml:space="preserve">Verdict</t>
  </si>
  <si>
    <t xml:space="preserve">Motif / rôle dans le jeu</t>
  </si>
  <si>
    <t xml:space="preserve">A01</t>
  </si>
  <si>
    <t xml:space="preserve">Actif</t>
  </si>
  <si>
    <t xml:space="preserve">Réglementaire</t>
  </si>
  <si>
    <t xml:space="preserve">Tarification carbone nationale</t>
  </si>
  <si>
    <t xml:space="preserve">Réduit les émissions du bloc tant qu'elle tient. Génère une friction forte si non redistribuée.</t>
  </si>
  <si>
    <t xml:space="preserve">Taxe carbone FR 2014-2018, gelée après les Gilets jaunes (déc. 2018)</t>
  </si>
  <si>
    <t xml:space="preserve">Court (1-2 tours)</t>
  </si>
  <si>
    <t xml:space="preserve">Capital politique</t>
  </si>
  <si>
    <t xml:space="preserve">Bloc</t>
  </si>
  <si>
    <t xml:space="preserve">Facile à annuler</t>
  </si>
  <si>
    <t xml:space="preserve">Élevée</t>
  </si>
  <si>
    <t xml:space="preserve">T39</t>
  </si>
  <si>
    <t xml:space="preserve">Retenu</t>
  </si>
  <si>
    <t xml:space="preserve">Noyau · Émissions — la tarification icônique, et le générateur de friction du jeu (paire avec A31)</t>
  </si>
  <si>
    <t xml:space="preserve">A02</t>
  </si>
  <si>
    <t xml:space="preserve">Marché de quotas (ETS)</t>
  </si>
  <si>
    <t xml:space="preserve">Plafond décroissant + échange. Effet croissant, friction citoyenne faible car indirecte.</t>
  </si>
  <si>
    <t xml:space="preserve">EU ETS depuis 2005 ; ETS2 bâtiment/transport prévu 2027</t>
  </si>
  <si>
    <t xml:space="preserve">Moyen (3-5 tours)</t>
  </si>
  <si>
    <t xml:space="preserve">Difficile à annuler</t>
  </si>
  <si>
    <t xml:space="preserve">T22</t>
  </si>
  <si>
    <t xml:space="preserve">Noyau · Émissions — l'outil de fond, plafond décroissant, faible friction citoyenne</t>
  </si>
  <si>
    <t xml:space="preserve">A03</t>
  </si>
  <si>
    <t xml:space="preserve">Ajustement carbone aux frontières</t>
  </si>
  <si>
    <t xml:space="preserve">Neutralise la fuite de carbone et désamorce le whataboutisme. Provoque des représailles commerciales.</t>
  </si>
  <si>
    <t xml:space="preserve">MACF/CBAM UE : déclaratif 2023, financier 2026</t>
  </si>
  <si>
    <t xml:space="preserve">Moyenne</t>
  </si>
  <si>
    <t xml:space="preserve">T45</t>
  </si>
  <si>
    <t xml:space="preserve">Noyau · Émissions — contre structurel du whataboutisme (T02) et de la fuite de carbone (T53)</t>
  </si>
  <si>
    <t xml:space="preserve">A04</t>
  </si>
  <si>
    <t xml:space="preserve">Norme d'émission véhicules</t>
  </si>
  <si>
    <t xml:space="preserve">Contraint les constructeurs sans coût budgétaire. Très efficace et quasi invisible du citoyen.</t>
  </si>
  <si>
    <t xml:space="preserve">Règlement UE 95 gCO2/km ; fin du thermique neuf 2035</t>
  </si>
  <si>
    <t xml:space="preserve">T52</t>
  </si>
  <si>
    <t xml:space="preserve">Noyau · Émissions — contrainte industrielle sans coût budgétaire ; contre direct de T52</t>
  </si>
  <si>
    <t xml:space="preserve">A05</t>
  </si>
  <si>
    <t xml:space="preserve">Interdiction de vente datée</t>
  </si>
  <si>
    <t xml:space="preserve">Date butoir sur une technologie. Déclenche l'anticipation industrielle dès l'annonce, avant tout effet réel.</t>
  </si>
  <si>
    <t xml:space="preserve">Fin des chaudières fioul FR 2022 ; thermique UE 2035</t>
  </si>
  <si>
    <t xml:space="preserve">Long (&gt;5 tours)</t>
  </si>
  <si>
    <t xml:space="preserve">T25</t>
  </si>
  <si>
    <t xml:space="preserve">Noyau · Émissions — déclenche l'anticipation industrielle dès l'annonce (puissance 5)</t>
  </si>
  <si>
    <t xml:space="preserve">A07</t>
  </si>
  <si>
    <t xml:space="preserve">Suppression des subventions aux fossiles</t>
  </si>
  <si>
    <t xml:space="preserve">Retire le soutien budgétaire direct. Meilleur rapport effet/coût du catalogue, et le plus rarement obtenu.</t>
  </si>
  <si>
    <t xml:space="preserve">Engagements G20 depuis 2009 ; subventions explicites toujours de l'ordre de 1 200 Md$/an (FMI)</t>
  </si>
  <si>
    <t xml:space="preserve">Mondial</t>
  </si>
  <si>
    <t xml:space="preserve">Noyau · Émissions — meilleur rapport effet/coût du catalogue, portée mondiale</t>
  </si>
  <si>
    <t xml:space="preserve">A10</t>
  </si>
  <si>
    <t xml:space="preserve">Normes d'efficacité des appareils</t>
  </si>
  <si>
    <t xml:space="preserve">Levier le plus discret du catalogue : effet cumulatif important, friction quasi nulle.</t>
  </si>
  <si>
    <t xml:space="preserve">Étiquetage énergétique UE, écoconception ; interdiction des ampoules à incandescence</t>
  </si>
  <si>
    <t xml:space="preserve">—</t>
  </si>
  <si>
    <t xml:space="preserve">Noyau · Émissions — le levier invisible : coût 1, aucun contre-levier. Enseigne que l'efficace n'est pas spectaculaire</t>
  </si>
  <si>
    <t xml:space="preserve">A11</t>
  </si>
  <si>
    <t xml:space="preserve">Réduction obligatoire des fuites de méthane</t>
  </si>
  <si>
    <t xml:space="preserve">Meilleur rapport effet/délai du catalogue : le méthane agit en années, pas en siècles.</t>
  </si>
  <si>
    <t xml:space="preserve">Global Methane Pledge (2021, 150+ pays) ; règlement méthane UE 2024</t>
  </si>
  <si>
    <t xml:space="preserve">Multi-bloc</t>
  </si>
  <si>
    <t xml:space="preserve">Noyau · Émissions — le SEUL levier actif à effet rapide. Indispensable à l'équilibrage</t>
  </si>
  <si>
    <t xml:space="preserve">A12</t>
  </si>
  <si>
    <t xml:space="preserve">Loi-cadre climat à budgets contraignants</t>
  </si>
  <si>
    <t xml:space="preserve">Verrouille une trajectoire pluriannuelle et rend chaque écart juridiquement attaquable.</t>
  </si>
  <si>
    <t xml:space="preserve">UK Climate Change Act 2008, voté quasi à l'unanimité ; Committee on Climate Change</t>
  </si>
  <si>
    <t xml:space="preserve">T23</t>
  </si>
  <si>
    <t xml:space="preserve">Pilier · Verrou — budgets pluriannuels contraignants, chaque écart devient attaquable</t>
  </si>
  <si>
    <t xml:space="preserve">A15</t>
  </si>
  <si>
    <t xml:space="preserve">Reporting extra-financier obligatoire</t>
  </si>
  <si>
    <t xml:space="preserve">Rend l'exposition carbone visible des investisseurs. Puissant, mais démontré détricotable.</t>
  </si>
  <si>
    <t xml:space="preserve">CSRD UE 2022, largement allégée par l'omnibus de 2025</t>
  </si>
  <si>
    <t xml:space="preserve">T20</t>
  </si>
  <si>
    <t xml:space="preserve">Noyau · Verrou — PROMU : contre-levier de quatre cartes du noyau (T05, T20, T51, P01). Charnière de la couche institutionnelle</t>
  </si>
  <si>
    <t xml:space="preserve">A17</t>
  </si>
  <si>
    <t xml:space="preserve">Interdiction de la publicité fossile</t>
  </si>
  <si>
    <t xml:space="preserve">Coupe l'accès du camp adverse à la ressource Attention. Effet indirect mais durable.</t>
  </si>
  <si>
    <t xml:space="preserve">Amsterdam 2020 ; loi Climat et Résilience FR 2021 (périmètre restreint)</t>
  </si>
  <si>
    <t xml:space="preserve">T31</t>
  </si>
  <si>
    <t xml:space="preserve">Signature — le seul levier actif qui attaque directement la ressource Attention adverse</t>
  </si>
  <si>
    <t xml:space="preserve">A18</t>
  </si>
  <si>
    <t xml:space="preserve">Économique</t>
  </si>
  <si>
    <t xml:space="preserve">Subvention massive au déploiement</t>
  </si>
  <si>
    <t xml:space="preserve">Paye cher pour faire baisser le coût mondial d'une technologie. Bénéficie à tous les blocs, y compris ceux qui n'ont rien payé.</t>
  </si>
  <si>
    <t xml:space="preserve">EEG allemand 2000-2015 : ~200 Md€, a amorcé la chute mondiale du prix du PV</t>
  </si>
  <si>
    <t xml:space="preserve">Capital</t>
  </si>
  <si>
    <t xml:space="preserve">Noyau · Émissions — courbe d'apprentissage : payé par un bloc, bénéficie à tous. Prouve mécaniquement que l'action marche</t>
  </si>
  <si>
    <t xml:space="preserve">A19</t>
  </si>
  <si>
    <t xml:space="preserve">Politique industrielle verte</t>
  </si>
  <si>
    <t xml:space="preserve">Achète l'adhésion des industriels plutôt que de les contraindre. Coût élevé, friction faible.</t>
  </si>
  <si>
    <t xml:space="preserve">Inflation Reduction Act US 2022 (~369 Md$ climat) ; Net-Zero Industry Act UE</t>
  </si>
  <si>
    <t xml:space="preserve">T50</t>
  </si>
  <si>
    <t xml:space="preserve">Noyau · Coalition — acheter l'adhésion plutôt que contraindre ; cible du piège T50</t>
  </si>
  <si>
    <t xml:space="preserve">A20</t>
  </si>
  <si>
    <t xml:space="preserve">Contrat pour différence / garantie de prix</t>
  </si>
  <si>
    <t xml:space="preserve">Supprime le risque de l'investisseur et fait chuter le coût du capital. Levier discret, très efficace.</t>
  </si>
  <si>
    <t xml:space="preserve">CfD britanniques sur l'éolien en mer : effondrement des prix adjugés 2015-2022</t>
  </si>
  <si>
    <t xml:space="preserve">Noyau · Émissions — PROMU : contre du piège P07. C'est le CfD qui rend le CCS sur centrale économiquement absurde</t>
  </si>
  <si>
    <t xml:space="preserve">A21</t>
  </si>
  <si>
    <t xml:space="preserve">Investissement réseau et stockage</t>
  </si>
  <si>
    <t xml:space="preserve">Lève le goulot d'étranglement physique. Sans lui, les autres leviers électriques saturent.</t>
  </si>
  <si>
    <t xml:space="preserve">Files d'attente de raccordement en Europe et aux États-Unis depuis 2022</t>
  </si>
  <si>
    <t xml:space="preserve">Noyau · Émissions — prérequis physique : sans réseau, les leviers électriques saturent</t>
  </si>
  <si>
    <t xml:space="preserve">A27</t>
  </si>
  <si>
    <t xml:space="preserve">Retrait de l'assurance sur les projets fossiles</t>
  </si>
  <si>
    <t xml:space="preserve">Un projet non assurable ne se finance pas. Levier sous-estimé et très puissant.</t>
  </si>
  <si>
    <t xml:space="preserve">Retraits successifs des réassureurs sur le charbon et les sables bitumineux</t>
  </si>
  <si>
    <t xml:space="preserve">T49</t>
  </si>
  <si>
    <t xml:space="preserve">Noyau · Verrou — un projet non assurable ne se finance pas ; branche sur la mécanique de retrait assurantiel</t>
  </si>
  <si>
    <t xml:space="preserve">A29</t>
  </si>
  <si>
    <t xml:space="preserve">Financement climat Nord-Sud</t>
  </si>
  <si>
    <t xml:space="preserve">Achète la coopération des blocs en développement. Sans lui, aucun accord mondial ne tient.</t>
  </si>
  <si>
    <t xml:space="preserve">100 Md$/an promis en 2009, atteints en 2022 ; NCQG de 300 Md$/an acté à Bakou en 2024</t>
  </si>
  <si>
    <t xml:space="preserve">T02</t>
  </si>
  <si>
    <t xml:space="preserve">Noyau · Coalition — sans lui aucun accord mondial ne tient ; contre de T02</t>
  </si>
  <si>
    <t xml:space="preserve">A31</t>
  </si>
  <si>
    <t xml:space="preserve">Redistribution du produit de la taxe carbone</t>
  </si>
  <si>
    <t xml:space="preserve">Neutralise la friction d'A01. Carte ennuyeuse et décisive : sans elle, la tarification ne survit pas.</t>
  </si>
  <si>
    <t xml:space="preserve">Dividende carbone canadien ; absence de redistribution visible dans le cas français de 2018</t>
  </si>
  <si>
    <t xml:space="preserve">Immédiat</t>
  </si>
  <si>
    <t xml:space="preserve">Noyau · Coalition — carte ennuyeuse et décisive. Sans elle, A01 ne survit pas à T39</t>
  </si>
  <si>
    <t xml:space="preserve">A33</t>
  </si>
  <si>
    <t xml:space="preserve">Judiciaire</t>
  </si>
  <si>
    <t xml:space="preserve">Contentieux climatique contre l'État</t>
  </si>
  <si>
    <t xml:space="preserve">Force l'État à agir par décision de justice, en contournant l'arène électorale.</t>
  </si>
  <si>
    <t xml:space="preserve">Urgenda (NL, 2019), Affaire du Siècle (FR, 2021), Neubauer (DE, 2021)</t>
  </si>
  <si>
    <t xml:space="preserve">T26</t>
  </si>
  <si>
    <t xml:space="preserve">Noyau · Verrou — contourne l'arène électorale par le juge</t>
  </si>
  <si>
    <t xml:space="preserve">A35</t>
  </si>
  <si>
    <t xml:space="preserve">Recours devant une cour régionale des droits humains</t>
  </si>
  <si>
    <t xml:space="preserve">Crée une obligation opposable à tous les États membres d'un coup.</t>
  </si>
  <si>
    <t xml:space="preserve">CEDH, KlimaSeniorinnen c. Suisse, avril 2024</t>
  </si>
  <si>
    <t xml:space="preserve">Irréversible</t>
  </si>
  <si>
    <t xml:space="preserve">Pilier · Verrou — irréversible, multi-bloc d'un seul coup (KlimaSeniorinnen 2024)</t>
  </si>
  <si>
    <t xml:space="preserve">A36</t>
  </si>
  <si>
    <t xml:space="preserve">Avis consultatif de juridiction internationale</t>
  </si>
  <si>
    <t xml:space="preserve">Établit le cadre juridique mondial et ouvre la voie aux demandes de réparation.</t>
  </si>
  <si>
    <t xml:space="preserve">Avis consultatif de la CIJ sur les obligations des États, 23 juillet 2025</t>
  </si>
  <si>
    <t xml:space="preserve">Pilier · Verrou — irréversible mondial, ouvre la voie aux réparations (CIJ 2025)</t>
  </si>
  <si>
    <t xml:space="preserve">A39</t>
  </si>
  <si>
    <t xml:space="preserve">Technologique</t>
  </si>
  <si>
    <t xml:space="preserve">R&amp;D publique</t>
  </si>
  <si>
    <t xml:space="preserve">Prépare les leviers des tours suivants. Aucun effet dans le tour où il est joué.</t>
  </si>
  <si>
    <t xml:space="preserve">Mission Innovation 2015 ; budgets publics R&amp;D énergie</t>
  </si>
  <si>
    <t xml:space="preserve">Noyau · Émissions — PROMU : contre de T04 (optimisme technologique), et seule carte qui enseigne la latence pure</t>
  </si>
  <si>
    <t xml:space="preserve">A40</t>
  </si>
  <si>
    <t xml:space="preserve">Électrification des usages</t>
  </si>
  <si>
    <t xml:space="preserve">Pompes à chaleur, véhicules électriques, procédés industriels. Multiplie l'effet de toute décarbonation du mix.</t>
  </si>
  <si>
    <t xml:space="preserve">Ventes mondiales de voitures électriques : ~1 % du marché en 2015, &gt;20 % en 2024</t>
  </si>
  <si>
    <t xml:space="preserve">T51</t>
  </si>
  <si>
    <t xml:space="preserve">Noyau · Émissions — multiplicateur de toute décarbonation du mix (puissance 5)</t>
  </si>
  <si>
    <t xml:space="preserve">A46</t>
  </si>
  <si>
    <t xml:space="preserve">Programme nucléaire</t>
  </si>
  <si>
    <t xml:space="preserve">Effet réel sur le mix, délai de 12 à 17 ans. Fracture la coalition écologiste : arme à double tranchant.</t>
  </si>
  <si>
    <t xml:space="preserve">Relance EPR2 en France (2022) ; délais et surcoûts de Flamanville et Hinkley Point C</t>
  </si>
  <si>
    <t xml:space="preserve">T41</t>
  </si>
  <si>
    <t xml:space="preserve">Signature — fracture la coalition écologiste. Arme à double tranchant, incontournable en contexte français. Paire avec le piège P10</t>
  </si>
  <si>
    <t xml:space="preserve">A48</t>
  </si>
  <si>
    <t xml:space="preserve">Réduction des émissions agricoles</t>
  </si>
  <si>
    <t xml:space="preserve">Méthane entérique, azote, élevage. Le secteur le plus verrouillé politiquement de tous.</t>
  </si>
  <si>
    <t xml:space="preserve">Retrait des objectifs agricoles du Pacte vert après les mobilisations de 2024</t>
  </si>
  <si>
    <t xml:space="preserve">Noyau · Émissions — le secteur le plus verrouillé politiquement ; paire avec T41</t>
  </si>
  <si>
    <t xml:space="preserve">A49</t>
  </si>
  <si>
    <t xml:space="preserve">Narratif</t>
  </si>
  <si>
    <t xml:space="preserve">Attribution rapide d'un événement extrême</t>
  </si>
  <si>
    <t xml:space="preserve">Sans attribution, une catastrophe ne déplace aucune jauge. Avec, elle déplace surtout la jauge perçue.</t>
  </si>
  <si>
    <t xml:space="preserve">World Weather Attribution : études publiées en quelques jours depuis 2015</t>
  </si>
  <si>
    <t xml:space="preserve">Attention</t>
  </si>
  <si>
    <t xml:space="preserve">T36</t>
  </si>
  <si>
    <t xml:space="preserve">Pilier · Opinion — mécanique centrale d'attribution. Sans elle, aucune catastrophe ne déplace de jauge</t>
  </si>
  <si>
    <t xml:space="preserve">A50</t>
  </si>
  <si>
    <t xml:space="preserve">Révéler la majorité silencieuse</t>
  </si>
  <si>
    <t xml:space="preserve">Rapproche brutalement le soutien perçu du soutien réel. Levier signature du camp Actif, à usage limité.</t>
  </si>
  <si>
    <t xml:space="preserve">Andre et al. 2024 : 69 % de soutien réel, 43 % de soutien perçu, 26 points d'écart</t>
  </si>
  <si>
    <t xml:space="preserve">Pilier · Opinion — mécanique signature du jeu (écart 69 % réel / 43 % perçu). Usage limité par partie</t>
  </si>
  <si>
    <t xml:space="preserve">A51</t>
  </si>
  <si>
    <t xml:space="preserve">Mobilisation de masse</t>
  </si>
  <si>
    <t xml:space="preserve">Déplace le soutien perçu et rouvre la fenêtre politique. Effet fort mais rapidement amorti.</t>
  </si>
  <si>
    <t xml:space="preserve">Marches climat mondiales de 2019 ; Fridays for Future</t>
  </si>
  <si>
    <t xml:space="preserve">Noyau · Opinion — effet fort et rapidement amorti : bonne courbe de décision</t>
  </si>
  <si>
    <t xml:space="preserve">A53</t>
  </si>
  <si>
    <t xml:space="preserve">Éducation et formation de masse</t>
  </si>
  <si>
    <t xml:space="preserve">Déplace le soutien réel, lentement et durablement. Insensible aux contre-attaques adverses.</t>
  </si>
  <si>
    <t xml:space="preserve">Fresque du Climat : plus d'un million de participants ; formation des élèves et agents publics</t>
  </si>
  <si>
    <t xml:space="preserve">Noyau · Opinion — le seul levier lent et sûr : déplace le réel, incontrable</t>
  </si>
  <si>
    <t xml:space="preserve">A54</t>
  </si>
  <si>
    <t xml:space="preserve">Journalisme d'investigation</t>
  </si>
  <si>
    <t xml:space="preserve">Détruit la crédibilité adverse en révélant ce qu'il savait. Coup unique par cible.</t>
  </si>
  <si>
    <t xml:space="preserve">Exxon Knew (2015) ; révélations sur les projections internes des majors</t>
  </si>
  <si>
    <t xml:space="preserve">Noyau · Opinion — irréversible, détruit la crédibilité adverse. Un coup par cible</t>
  </si>
  <si>
    <t xml:space="preserve">A57</t>
  </si>
  <si>
    <t xml:space="preserve">Récit de co-bénéfices</t>
  </si>
  <si>
    <t xml:space="preserve">Parle santé, facture, air, emploi plutôt que climat. Plus efficace que le récit catastrophe sur le soutien réel.</t>
  </si>
  <si>
    <t xml:space="preserve">Environ 7 millions de décès annuels liés à la pollution de l'air (OMS)</t>
  </si>
  <si>
    <t xml:space="preserve">T38</t>
  </si>
  <si>
    <t xml:space="preserve">Noyau · Opinion — santé, facture, air : plus efficace que le récit catastrophe</t>
  </si>
  <si>
    <t xml:space="preserve">A59</t>
  </si>
  <si>
    <t xml:space="preserve">Électoral</t>
  </si>
  <si>
    <t xml:space="preserve">Faire du climat un enjeu de campagne</t>
  </si>
  <si>
    <t xml:space="preserve">Convertit le soutien perçu en mandat. Échoue si le soutien perçu est bas : vérifier la jauge avant de jouer.</t>
  </si>
  <si>
    <t xml:space="preserve">Élections européennes 2019 puis reflux de 2024</t>
  </si>
  <si>
    <t xml:space="preserve">Noyau · Coalition — convertit le soutien perçu en mandat ; échoue si la jauge perçue est basse</t>
  </si>
  <si>
    <t xml:space="preserve">A60</t>
  </si>
  <si>
    <t xml:space="preserve">Coalition élargie climat + emploi + pouvoir d'achat</t>
  </si>
  <si>
    <t xml:space="preserve">Immunise partiellement contre le levier adverse du coût de la vie. Coûte cher en concessions.</t>
  </si>
  <si>
    <t xml:space="preserve">Architecture de l'Inflation Reduction Act, vendu comme politique industrielle</t>
  </si>
  <si>
    <t xml:space="preserve">Noyau · Coalition — immunise partiellement contre T39. Coûte cher en concessions</t>
  </si>
  <si>
    <t xml:space="preserve">A61</t>
  </si>
  <si>
    <t xml:space="preserve">Ancrage local et réseaux de villes</t>
  </si>
  <si>
    <t xml:space="preserve">Contourne un blocage national. Neutralisé par la préemption législative.</t>
  </si>
  <si>
    <t xml:space="preserve">C40 Cities ; conventions des maires ; préemption dans plus de 20 États américains</t>
  </si>
  <si>
    <t xml:space="preserve">Local</t>
  </si>
  <si>
    <t xml:space="preserve">T19</t>
  </si>
  <si>
    <t xml:space="preserve">Noyau · Coalition — contourne le blocage national ; paire avec T19 (préemption)</t>
  </si>
  <si>
    <t xml:space="preserve">A62</t>
  </si>
  <si>
    <t xml:space="preserve">Dépolitisation / accord transpartisan</t>
  </si>
  <si>
    <t xml:space="preserve">Rend une politique insensible à l'alternance. Rare, décisif, presque impossible à obtenir après polarisation.</t>
  </si>
  <si>
    <t xml:space="preserve">Climate Change Act britannique de 2008, adopté à cinq voix contre</t>
  </si>
  <si>
    <t xml:space="preserve">Pilier · Verrou — puissance 5, irréversible, presque impossible après polarisation. Objectif de fin de partie</t>
  </si>
  <si>
    <t xml:space="preserve">A63</t>
  </si>
  <si>
    <t xml:space="preserve">Institution indépendante de suivi</t>
  </si>
  <si>
    <t xml:space="preserve">Ne décide rien mais rend l'inaction publiquement mesurable à chaque tour.</t>
  </si>
  <si>
    <t xml:space="preserve">Committee on Climate Change (UK) ; Haut Conseil pour le Climat (FR, 2019)</t>
  </si>
  <si>
    <t xml:space="preserve">T21</t>
  </si>
  <si>
    <t xml:space="preserve">Noyau · Coalition — rend l'inaction publiquement mesurable à chaque tour</t>
  </si>
  <si>
    <t xml:space="preserve">A65</t>
  </si>
  <si>
    <t xml:space="preserve">International</t>
  </si>
  <si>
    <t xml:space="preserve">Accord multilatéral à cliquet</t>
  </si>
  <si>
    <t xml:space="preserve">Aucun effet direct sur les émissions. Crée un mécanisme de révision et de transparence qui agit sur dix tours.</t>
  </si>
  <si>
    <t xml:space="preserve">Accord de Paris, décembre 2015 : point de départ de la partie</t>
  </si>
  <si>
    <t xml:space="preserve">T07</t>
  </si>
  <si>
    <t xml:space="preserve">Obligatoire · International — c'est le tour 1 de la partie (Paris, décembre 2015)</t>
  </si>
  <si>
    <t xml:space="preserve">A67</t>
  </si>
  <si>
    <t xml:space="preserve">Protocole sectoriel contraignant</t>
  </si>
  <si>
    <t xml:space="preserve">Le format le plus efficace jamais signé. Fonctionne quand la cible est étroite et substituable.</t>
  </si>
  <si>
    <t xml:space="preserve">Amendement de Kigali au Protocole de Montréal (2016) sur les HFC</t>
  </si>
  <si>
    <t xml:space="preserve">Noyau · International — le format le plus efficace jamais signé (Kigali 2016)</t>
  </si>
  <si>
    <t xml:space="preserve">P01</t>
  </si>
  <si>
    <t xml:space="preserve">Piège</t>
  </si>
  <si>
    <t xml:space="preserve">Compensation carbone volontaire</t>
  </si>
  <si>
    <t xml:space="preserve">Semble neutraliser des émissions. Effet réel très inférieur, et consomme le budget qui aurait servi à réduire.</t>
  </si>
  <si>
    <t xml:space="preserve">Revue de 25 ans de projets : majorité jugée non additionnelle ; marché en chute de plus de 60 %</t>
  </si>
  <si>
    <t xml:space="preserve">Noyau · Piège — le piège n°1, documenté, marché effondré de plus de 60 %</t>
  </si>
  <si>
    <t xml:space="preserve">P04</t>
  </si>
  <si>
    <t xml:space="preserve">Hydrogène pour la voiture particulière</t>
  </si>
  <si>
    <t xml:space="preserve">Rendement global de 3 à 4 fois inférieur à l'électrique à batterie. Retarde l'électrification directe.</t>
  </si>
  <si>
    <t xml:space="preserve">Abandons successifs des programmes hydrogène automobile depuis 2020</t>
  </si>
  <si>
    <t xml:space="preserve">Noyau · Piège — rendement 3 à 4 fois inférieur à l'électrique à batterie. Pendant piège de A47</t>
  </si>
  <si>
    <t xml:space="preserve">P05</t>
  </si>
  <si>
    <t xml:space="preserve">Carburants de synthèse pour l'automobile</t>
  </si>
  <si>
    <t xml:space="preserve">Coût et rendement prohibitifs à l'échelle. Sert surtout à créer une exemption réglementaire.</t>
  </si>
  <si>
    <t xml:space="preserve">Exemption e-fuels de 2023 sur le règlement européen 2035</t>
  </si>
  <si>
    <t xml:space="preserve">Noyau · Piège — devient une exemption réglementaire réelle (paire avec T52)</t>
  </si>
  <si>
    <t xml:space="preserve">P07</t>
  </si>
  <si>
    <t xml:space="preserve">CCS sur centrale électrique</t>
  </si>
  <si>
    <t xml:space="preserve">Techniquement possible, économiquement absurde face au renouvelable. Sert à justifier la prolongation du parc fossile.</t>
  </si>
  <si>
    <t xml:space="preserve">Boundary Dam et Petra Nova : taux de captage réels très inférieurs aux annonces</t>
  </si>
  <si>
    <t xml:space="preserve">Noyau · Piège — pendant piège de A44 : même technologie, un usage légitime, un usage piège</t>
  </si>
  <si>
    <t xml:space="preserve">P08</t>
  </si>
  <si>
    <t xml:space="preserve">Engagement net zéro 2050 sans étape</t>
  </si>
  <si>
    <t xml:space="preserve">Marque des points d'opinion immédiats. Aucun effet sur les émissions avant le tour final.</t>
  </si>
  <si>
    <t xml:space="preserve">Généralisation des annonces net zéro sans trajectoire intermédiaire</t>
  </si>
  <si>
    <t xml:space="preserve">Noyau · Piège — le plus répandu. Points d'opinion immédiats, zéro tonne évitée</t>
  </si>
  <si>
    <t xml:space="preserve">P10</t>
  </si>
  <si>
    <t xml:space="preserve">Nucléaire présenté comme réponse à 2030</t>
  </si>
  <si>
    <t xml:space="preserve">Levier réel sur l'horizon long (A46), inopérant sur l'horizon de la décennie. Sert d'argument de report.</t>
  </si>
  <si>
    <t xml:space="preserve">Délais de 12 à 17 ans par réacteur, surcoûts de Flamanville et Hinkley Point C</t>
  </si>
  <si>
    <t xml:space="preserve">Noyau · Piège — le levier nucléaire est réel (A46), c'est le CALENDRIER qui est le piège. Évite que le jeu soit lu comme antinucléaire</t>
  </si>
  <si>
    <t xml:space="preserve">T01</t>
  </si>
  <si>
    <t xml:space="preserve">Attentiste</t>
  </si>
  <si>
    <t xml:space="preserve">Discours</t>
  </si>
  <si>
    <t xml:space="preserve">Individualisme</t>
  </si>
  <si>
    <t xml:space="preserve">Déplace la cible d'une mesure de la production vers le consommateur. Neutralise une carte Actif réglementaire.</t>
  </si>
  <si>
    <t xml:space="preserve">Calculateur d'empreinte carbone individuelle lancé par BP en 2004</t>
  </si>
  <si>
    <t xml:space="preserve">Noyau · Discours — déplace la cible de la production vers le consommateur (BP, 2004)</t>
  </si>
  <si>
    <t xml:space="preserve">Whataboutisme</t>
  </si>
  <si>
    <t xml:space="preserve">« Et la Chine ? », « la France c'est 1 % ». Annule l'effet d'une mesure dans un bloc à faibles émissions relatives.</t>
  </si>
  <si>
    <t xml:space="preserve">Argument récurrent des débats parlementaires français et britanniques</t>
  </si>
  <si>
    <t xml:space="preserve">Noyau · Discours — annule une mesure dans un bloc à faibles émissions relatives</t>
  </si>
  <si>
    <t xml:space="preserve">T04</t>
  </si>
  <si>
    <t xml:space="preserve">Optimisme technologique</t>
  </si>
  <si>
    <t xml:space="preserve">« Attendons la technologie. » Reporte la décision de N tours en promettant une solution future.</t>
  </si>
  <si>
    <t xml:space="preserve">Promesses successives sur la fusion, le captage direct, l'hydrogène</t>
  </si>
  <si>
    <t xml:space="preserve">Noyau · Discours — reporte la décision de N tours contre une promesse future</t>
  </si>
  <si>
    <t xml:space="preserve">T05</t>
  </si>
  <si>
    <t xml:space="preserve">Le fossile comme solution</t>
  </si>
  <si>
    <t xml:space="preserve">« Le gaz est une énergie de transition », « charbon propre ». Fait financer du fossile sur budget climat.</t>
  </si>
  <si>
    <t xml:space="preserve">Classement du gaz dans la taxonomie verte européenne, 2022</t>
  </si>
  <si>
    <t xml:space="preserve">Noyau · Discours — fait financer du fossile sur budget climat (puissance 5)</t>
  </si>
  <si>
    <t xml:space="preserve">Beaucoup d'annonces, peu d'actes</t>
  </si>
  <si>
    <t xml:space="preserve">Annonce un objectif 2050 sans étape intermédiaire. Marque des points d'opinion sans réduire d'émissions.</t>
  </si>
  <si>
    <t xml:space="preserve">Prolifération des engagements net zéro 2050 sans trajectoire 2030</t>
  </si>
  <si>
    <t xml:space="preserve">Noyau · Discours — marque des points d'opinion sans réduire une tonne (puissance 5)</t>
  </si>
  <si>
    <t xml:space="preserve">T08</t>
  </si>
  <si>
    <t xml:space="preserve">Appel à la justice sociale</t>
  </si>
  <si>
    <t xml:space="preserve">Retourne l'argument social contre la mesure : « les pauvres paieront ». Très efficace si A31 n'a pas été joué.</t>
  </si>
  <si>
    <t xml:space="preserve">Argumentaire déployé contre les ZFE et les taxes carbone</t>
  </si>
  <si>
    <t xml:space="preserve">Noyau · Discours — retourne l'argument social. Dévastateur si A31 n'a pas été joué</t>
  </si>
  <si>
    <t xml:space="preserve">T09</t>
  </si>
  <si>
    <t xml:space="preserve">Défense du mode de vie</t>
  </si>
  <si>
    <t xml:space="preserve">« On veut vous priver de votre voiture, de votre steak, de vos vacances. » Attaque le soutien réel, pas seulement le perçu.</t>
  </si>
  <si>
    <t xml:space="preserve">Polémiques sur la viande, l'avion, la voiture individuelle</t>
  </si>
  <si>
    <t xml:space="preserve">Noyau · Discours — attaque le soutien RÉEL et non le perçu : mécaniquement distinct des autres discours</t>
  </si>
  <si>
    <t xml:space="preserve">T11</t>
  </si>
  <si>
    <t xml:space="preserve">Fatalisme / doomism</t>
  </si>
  <si>
    <t xml:space="preserve">« C'est trop tard. » Gèle la mobilisation d'un bloc. Puissance croissante avec la température : levier de fin de partie.</t>
  </si>
  <si>
    <t xml:space="preserve">Montée du discours de résignation depuis les records de 2023-2024</t>
  </si>
  <si>
    <t xml:space="preserve">Signature · Discours — puissance croissante avec la température. Le seul levier qui se renforce quand la partie se dégrade</t>
  </si>
  <si>
    <t xml:space="preserve">T13</t>
  </si>
  <si>
    <t xml:space="preserve">Institutionnel</t>
  </si>
  <si>
    <t xml:space="preserve">Lobbying direct</t>
  </si>
  <si>
    <t xml:space="preserve">Achète l'accès aux cabinets. Réduit la portée d'une mesure avant même son dépôt.</t>
  </si>
  <si>
    <t xml:space="preserve">InfluenceMap : plusieurs centaines de M$/an d'influence climatique obstructive</t>
  </si>
  <si>
    <t xml:space="preserve">Noyau · Institutionnel — la base du camp, disponible dès le niveau Découverte</t>
  </si>
  <si>
    <t xml:space="preserve">T17</t>
  </si>
  <si>
    <t xml:space="preserve">Capture de l'agence réglementaire</t>
  </si>
  <si>
    <t xml:space="preserve">Neutralise l'application d'une norme déjà votée. Le vote reste, l'effet disparaît.</t>
  </si>
  <si>
    <t xml:space="preserve">Sous-dotation chronique des autorités de contrôle environnemental</t>
  </si>
  <si>
    <t xml:space="preserve">Pilier · Institutionnel — le vote reste, l'effet disparaît. Mécanique unique et brutale</t>
  </si>
  <si>
    <t xml:space="preserve">Préemption législative</t>
  </si>
  <si>
    <t xml:space="preserve">Interdit à l'échelon local de légiférer. Annule d'un coup toutes les cartes locales adverses.</t>
  </si>
  <si>
    <t xml:space="preserve">Plus de 20 États américains interdisant aux villes de bannir le gaz depuis 2020</t>
  </si>
  <si>
    <t xml:space="preserve">Noyau · Institutionnel — annule d'un coup toutes les cartes locales adverses (contre A61)</t>
  </si>
  <si>
    <t xml:space="preserve">Détricotage administratif</t>
  </si>
  <si>
    <t xml:space="preserve">Vide une norme existante par simplification plutôt que par abrogation. Passe sous le radar médiatique.</t>
  </si>
  <si>
    <t xml:space="preserve">Paquet omnibus européen de 2025 réduisant fortement CSRD et CSDDD</t>
  </si>
  <si>
    <t xml:space="preserve">Pilier · Institutionnel — vide une norme par simplification, sous le radar médiatique (omnibus UE 2025)</t>
  </si>
  <si>
    <t xml:space="preserve">Consultation et étude d'impact à répétition</t>
  </si>
  <si>
    <t xml:space="preserve">Reporte l'entrée en vigueur de 2 à 3 tours sans jamais s'opposer publiquement.</t>
  </si>
  <si>
    <t xml:space="preserve">Multiplication des phases de concertation sur les projets réglementaires</t>
  </si>
  <si>
    <t xml:space="preserve">Noyau · Institutionnel — PROMU : report de 2 à 3 tours sans jamais s'opposer publiquement. Contre de A63</t>
  </si>
  <si>
    <t xml:space="preserve">Exemption sectorielle</t>
  </si>
  <si>
    <t xml:space="preserve">Obtient une dérogation dans le texte. La mesure passe, le secteur clé en sort.</t>
  </si>
  <si>
    <t xml:space="preserve">Aviation et maritime longtemps hors ETS ; dérogations agricoles</t>
  </si>
  <si>
    <t xml:space="preserve">Noyau · Institutionnel — la mesure passe, le secteur clé en sort (puissance 5)</t>
  </si>
  <si>
    <t xml:space="preserve">Clause de revoyure</t>
  </si>
  <si>
    <t xml:space="preserve">Insère une révision datée dans le texte. Crée une fenêtre d'annulation programmée au tour n+3.</t>
  </si>
  <si>
    <t xml:space="preserve">Clause de réexamen 2026 sur la fin du thermique européen en 2035</t>
  </si>
  <si>
    <t xml:space="preserve">Signature · Institutionnel — fenêtre d'annulation programmée au tour n+3. Mécaniquement très élégant</t>
  </si>
  <si>
    <t xml:space="preserve">T24</t>
  </si>
  <si>
    <t xml:space="preserve">Arbitrage investisseur-État (ISDS)</t>
  </si>
  <si>
    <t xml:space="preserve">Fait payer à l'État le coût de sa propre politique climatique. Effet dissuasif au-delà du cas jugé.</t>
  </si>
  <si>
    <t xml:space="preserve">RWE et Uniper c. Pays-Bas (~1,4 Md€) ; Rockhopper c. Italie (190 M€) via le Traité sur la Charte de l'énergie</t>
  </si>
  <si>
    <t xml:space="preserve">Noyau · Judiciaire — fait payer à l'État le coût de sa propre politique. Effet dissuasif au-delà du cas jugé</t>
  </si>
  <si>
    <t xml:space="preserve">Recours contentieux contre la norme</t>
  </si>
  <si>
    <t xml:space="preserve">Suspend l'application d'une mesure de 3 à 5 ans. Gagner n'est pas nécessaire : retarder suffit.</t>
  </si>
  <si>
    <t xml:space="preserve">Contentieux systématiques contre les réglementations environnementales américaines</t>
  </si>
  <si>
    <t xml:space="preserve">Noyau · Judiciaire — gagner n'est pas nécessaire, retarder suffit. Niveau Découverte</t>
  </si>
  <si>
    <t xml:space="preserve">Procédure-bâillon (SLAPP)</t>
  </si>
  <si>
    <t xml:space="preserve">Épuise financièrement une ONG ou un journaliste. Supprime durablement une source d'attribution adverse.</t>
  </si>
  <si>
    <t xml:space="preserve">Poursuites contre des ONG environnementales en Europe et aux États-Unis ; directive anti-SLAPP UE 2024</t>
  </si>
  <si>
    <t xml:space="preserve">Noyau · Judiciaire — supprime une source d'attribution adverse (contre A54 et A49)</t>
  </si>
  <si>
    <t xml:space="preserve">Greenwashing publicitaire</t>
  </si>
  <si>
    <t xml:space="preserve">Achète du soutien perçu sans réduire d'émissions. Vulnérable au contentieux publicitaire.</t>
  </si>
  <si>
    <t xml:space="preserve">Campagnes des majors sur leurs investissements bas carbone, souvent &lt; 5 % du capex</t>
  </si>
  <si>
    <t xml:space="preserve">A37</t>
  </si>
  <si>
    <t xml:space="preserve">Noyau · Narratif — achète du soutien perçu sans réduire d'émissions</t>
  </si>
  <si>
    <t xml:space="preserve">T33</t>
  </si>
  <si>
    <t xml:space="preserve">Contrôle capitalistique des médias</t>
  </si>
  <si>
    <t xml:space="preserve">Transforme la ressource Capital en contrôle durable de la ressource Attention.</t>
  </si>
  <si>
    <t xml:space="preserve">Concentration de la propriété des médias dans plusieurs blocs</t>
  </si>
  <si>
    <t xml:space="preserve">Pilier · Narratif — convertit du capital en contrôle durable de l'attention (puissance 5)</t>
  </si>
  <si>
    <t xml:space="preserve">Saturation de l'attention</t>
  </si>
  <si>
    <t xml:space="preserve">Fait exister une autre polémique le jour du vote ou de la catastrophe. Empêche toute attribution ce tour-ci.</t>
  </si>
  <si>
    <t xml:space="preserve">Décalage systématique des annonces sensibles vers les périodes de forte actualité</t>
  </si>
  <si>
    <t xml:space="preserve">Pilier · Narratif — contre direct de A49 : aucune attribution possible ce tour-ci</t>
  </si>
  <si>
    <t xml:space="preserve">Guerre culturelle</t>
  </si>
  <si>
    <t xml:space="preserve">Transforme le climat en marqueur identitaire. Rend la dépolitisation impossible pour le reste de la partie.</t>
  </si>
  <si>
    <t xml:space="preserve">Polarisation partisane croissante du sujet climatique depuis 2010</t>
  </si>
  <si>
    <t xml:space="preserve">Pilier · Narratif — irréversible, rend A62 (dépolitisation) impossible pour le reste de la partie</t>
  </si>
  <si>
    <t xml:space="preserve">Instrumentalisation du coût de la vie</t>
  </si>
  <si>
    <t xml:space="preserve">Levier numéro un depuis 2022. Convertit toute mesure non compensée en friction maximale.</t>
  </si>
  <si>
    <t xml:space="preserve">Crise énergétique de 2022 ; retournement du discours sur le Pacte vert</t>
  </si>
  <si>
    <t xml:space="preserve">Pilier · Narratif — levier numéro un depuis 2022. Convertit toute mesure non compensée en friction maximale</t>
  </si>
  <si>
    <t xml:space="preserve">T40</t>
  </si>
  <si>
    <t xml:space="preserve">Instrumentalisation de la sécurité énergétique</t>
  </si>
  <si>
    <t xml:space="preserve">Rouvre les projets fossiles au nom de la souveraineté. Fenêtre d'opportunité liée aux cartes géopolitiques.</t>
  </si>
  <si>
    <t xml:space="preserve">Relance des terminaux GNL européens après 2022</t>
  </si>
  <si>
    <t xml:space="preserve">Noyau · Narratif — rouvre les projets fossiles au nom de la souveraineté. Lié aux cartes géopolitiques</t>
  </si>
  <si>
    <t xml:space="preserve">Fracturation de la coalition adverse</t>
  </si>
  <si>
    <t xml:space="preserve">Détache un groupe social de la coalition Actif : agriculteurs, automobilistes, ruraux, salariés d'un secteur.</t>
  </si>
  <si>
    <t xml:space="preserve">Mobilisations agricoles européennes de 2024 ; Gilets jaunes 2018</t>
  </si>
  <si>
    <t xml:space="preserve">Pilier · Narratif — détache un groupe social de la coalition adverse (contre A60)</t>
  </si>
  <si>
    <t xml:space="preserve">T43</t>
  </si>
  <si>
    <t xml:space="preserve">Verrouillage d'infrastructure anticipé</t>
  </si>
  <si>
    <t xml:space="preserve">Construit vite avant l'arrivée de la règle. Verrouille 20 à 40 ans d'émissions. Levier structurant du camp.</t>
  </si>
  <si>
    <t xml:space="preserve">Vague de terminaux GNL et de capacités charbon lancés avant durcissement réglementaire</t>
  </si>
  <si>
    <t xml:space="preserve">Pilier · Économique — verrouille 20 à 40 ans d'émissions. Le principal irréversible du camp</t>
  </si>
  <si>
    <t xml:space="preserve">T44</t>
  </si>
  <si>
    <t xml:space="preserve">Contrat d'approvisionnement de long terme</t>
  </si>
  <si>
    <t xml:space="preserve">Verrouille par le droit privé ce que la réglementation ne peut plus atteindre.</t>
  </si>
  <si>
    <t xml:space="preserve">Contrats GNL de 20 à 25 ans signés en Europe et en Asie depuis 2022</t>
  </si>
  <si>
    <t xml:space="preserve">Noyau · Économique — verrouille par le droit privé ce que la réglementation n'atteint plus</t>
  </si>
  <si>
    <t xml:space="preserve">Chantage à l'emploi et à la délocalisation</t>
  </si>
  <si>
    <t xml:space="preserve">Convertit une mesure en menace territoriale. Très efficace en période électorale.</t>
  </si>
  <si>
    <t xml:space="preserve">Menaces de fermeture de sites industriels lors des débats sur le prix du carbone</t>
  </si>
  <si>
    <t xml:space="preserve">Noyau · Économique — convertit une mesure en menace territoriale. Niveau Découverte</t>
  </si>
  <si>
    <t xml:space="preserve">Capture de la subvention</t>
  </si>
  <si>
    <t xml:space="preserve">Encaisse l'aide publique sans modifier la trajectoire. Détourne le levier A19 contre son émetteur.</t>
  </si>
  <si>
    <t xml:space="preserve">Aides à la transition perçues sans réduction d'émissions vérifiée</t>
  </si>
  <si>
    <t xml:space="preserve">Noyau · Économique — PROMU : détourne A19 contre son émetteur. Encaisser l'aide sans changer de trajectoire</t>
  </si>
  <si>
    <t xml:space="preserve">Compensation à la place de la réduction</t>
  </si>
  <si>
    <t xml:space="preserve">Achète des crédits bon marché plutôt que de réduire. Effet climatique réel très inférieur à l'affiché.</t>
  </si>
  <si>
    <t xml:space="preserve">Effondrement du marché volontaire du carbone : valeur en baisse de plus de 60 % depuis 2022</t>
  </si>
  <si>
    <t xml:space="preserve">Noyau · Économique — achète des crédits au lieu de réduire. Passerelle vers le piège P01</t>
  </si>
  <si>
    <t xml:space="preserve">Obtention d'une exemption technologique</t>
  </si>
  <si>
    <t xml:space="preserve">Fait inscrire une technologie non viable dans le texte pour en vider l'effet.</t>
  </si>
  <si>
    <t xml:space="preserve">Exemption e-fuels obtenue en 2023 sur le règlement européen de fin du thermique</t>
  </si>
  <si>
    <t xml:space="preserve">Noyau · Économique — inscrit une technologie non viable dans le texte pour en vider l'effet (e-fuels, 2023)</t>
  </si>
  <si>
    <t xml:space="preserve">A06</t>
  </si>
  <si>
    <t xml:space="preserve">Norme bâtiment / interdiction des passoires</t>
  </si>
  <si>
    <t xml:space="preserve">Bloque la location ou la vente des logements les moins performants. Friction propriétaires forte.</t>
  </si>
  <si>
    <t xml:space="preserve">Calendrier DPE FR : classe G en 2025, F en 2028</t>
  </si>
  <si>
    <t xml:space="preserve">À tester</t>
  </si>
  <si>
    <t xml:space="preserve">Extension · à garder si la friction propriétaire est modélisée (absorbe A09)</t>
  </si>
  <si>
    <t xml:space="preserve">A08</t>
  </si>
  <si>
    <t xml:space="preserve">Plafond d'émission des centrales</t>
  </si>
  <si>
    <t xml:space="preserve">Ferme le parc le plus émetteur par la norme plutôt que par le prix.</t>
  </si>
  <si>
    <t xml:space="preserve">Clean Power Plan US 2015, annulé en 2019 puis remplacé — exemple d'annulabilité</t>
  </si>
  <si>
    <t xml:space="preserve">Extension · recouvre partiellement A02 et A05 — vérifier qu'il apporte une décision distincte</t>
  </si>
  <si>
    <t xml:space="preserve">A13</t>
  </si>
  <si>
    <t xml:space="preserve">Zone à faibles émissions</t>
  </si>
  <si>
    <t xml:space="preserve">Effet local réel sur la qualité de l'air, friction sociale disproportionnée par rapport à l'effet carbone.</t>
  </si>
  <si>
    <t xml:space="preserve">ZFE françaises ; ULEZ Londres 2023 et son coût électoral</t>
  </si>
  <si>
    <t xml:space="preserve">Extension · portée locale : n'existe mécaniquement que si le jeu descend sous le bloc</t>
  </si>
  <si>
    <t xml:space="preserve">A14</t>
  </si>
  <si>
    <t xml:space="preserve">Planification urbaine et fin de l'étalement</t>
  </si>
  <si>
    <t xml:space="preserve">Réduit la demande de mobilité à la racine. Effet le plus durable, horizon le plus long du jeu.</t>
  </si>
  <si>
    <t xml:space="preserve">Objectif ZAN français ; politiques de densification</t>
  </si>
  <si>
    <t xml:space="preserve">Extension · horizon trop long pour 8 à 20 tours — chercher une représentation lisible</t>
  </si>
  <si>
    <t xml:space="preserve">A22</t>
  </si>
  <si>
    <t xml:space="preserve">Fin du financement public à l'export des fossiles</t>
  </si>
  <si>
    <t xml:space="preserve">Coupe le crédit export. Déplace le projet vers un autre financeur si le levier n'est pas multilatéral.</t>
  </si>
  <si>
    <t xml:space="preserve">Déclaration de Glasgow COP26 (2021), ~39 signataires</t>
  </si>
  <si>
    <t xml:space="preserve">T46</t>
  </si>
  <si>
    <t xml:space="preserve">Extension · contré par T46 (cession d'actifs) — tester si la paire fonctionne</t>
  </si>
  <si>
    <t xml:space="preserve">A23</t>
  </si>
  <si>
    <t xml:space="preserve">Verdissement de la banque centrale</t>
  </si>
  <si>
    <t xml:space="preserve">Modifie le coût du capital par le collatéral et les achats d'actifs. Levier technocratique, hors du champ électoral.</t>
  </si>
  <si>
    <t xml:space="preserve">Verdissement du portefeuille d'obligations d'entreprises de la BCE, 2022</t>
  </si>
  <si>
    <t xml:space="preserve">Extension · technocratique, hors du champ électoral : tester si le joueur comprend l'effet</t>
  </si>
  <si>
    <t xml:space="preserve">A25</t>
  </si>
  <si>
    <t xml:space="preserve">Désinvestissement institutionnel</t>
  </si>
  <si>
    <t xml:space="preserve">Effet direct sur le coût du capital faible. Effet de stigmatisation et de signal réel.</t>
  </si>
  <si>
    <t xml:space="preserve">Mouvement divest depuis 2012 ; fonds souverain norvégien</t>
  </si>
  <si>
    <t xml:space="preserve">Contestée</t>
  </si>
  <si>
    <t xml:space="preserve">Extension · robustesse contestée — candidat sérieux au statut de PIÈGE plutôt que de levier</t>
  </si>
  <si>
    <t xml:space="preserve">A28</t>
  </si>
  <si>
    <t xml:space="preserve">Suppression des niches fiscales sectorielles</t>
  </si>
  <si>
    <t xml:space="preserve">Supprime les exemptions (kérosène, gazole non routier). Déclenche presque toujours une fracture professionnelle.</t>
  </si>
  <si>
    <t xml:space="preserve">Tentative FR sur le GNR agricole, retirée après la mobilisation agricole de 2024</t>
  </si>
  <si>
    <t xml:space="preserve">Extension · déclenche la fracture professionnelle (paire avec T41) — à réintégrer tôt</t>
  </si>
  <si>
    <t xml:space="preserve">A32</t>
  </si>
  <si>
    <t xml:space="preserve">Commande publique verte</t>
  </si>
  <si>
    <t xml:space="preserve">Utilise le poids de l'achat public (10-15 % du PIB) comme marché de lancement. Très peu exploité.</t>
  </si>
  <si>
    <t xml:space="preserve">Buy Clean californien ; clauses carbone des marchés publics UE</t>
  </si>
  <si>
    <t xml:space="preserve">Extension · 10 à 15 % du PIB, très peu exploité dans le réel : gisement de jeu, effet difficile à chiffrer</t>
  </si>
  <si>
    <t xml:space="preserve">A34</t>
  </si>
  <si>
    <t xml:space="preserve">Contentieux contre une entreprise</t>
  </si>
  <si>
    <t xml:space="preserve">Impose une trajectoire à un acteur privé. Gains fragiles en appel.</t>
  </si>
  <si>
    <t xml:space="preserve">Milieudefensie c. Shell : -45 % ordonné en 2021, infirmé en appel en 2024</t>
  </si>
  <si>
    <t xml:space="preserve">Extension · gain infirmé en appel (Shell, 2024) — modéliser la fragilité plutôt que le gain</t>
  </si>
  <si>
    <t xml:space="preserve">Contentieux publicité mensongère / climate-washing</t>
  </si>
  <si>
    <t xml:space="preserve">Attaque la ressource Attention adverse en faisant retirer les campagnes.</t>
  </si>
  <si>
    <t xml:space="preserve">Décisions ASA au Royaume-Uni ; plaintes contre TotalEnergies (2022)</t>
  </si>
  <si>
    <t xml:space="preserve">Extension · redondant avec A17 dans le noyau</t>
  </si>
  <si>
    <t xml:space="preserve">A38</t>
  </si>
  <si>
    <t xml:space="preserve">Contentieux en responsabilité fondé sur l'attribution</t>
  </si>
  <si>
    <t xml:space="preserve">Convertit une catastrophe attribuée en dommages-intérêts. Levier émergent, potentiel énorme.</t>
  </si>
  <si>
    <t xml:space="preserve">Lliuya c. RWE (procédure allemande) ; essor de la science d'attribution</t>
  </si>
  <si>
    <t xml:space="preserve">Extension · niveau Expert. Couple très bien avec A49 (attribution) — réintégrer si le noyau juridique se révèle mince</t>
  </si>
  <si>
    <t xml:space="preserve">A41</t>
  </si>
  <si>
    <t xml:space="preserve">Plan de sobriété organisée</t>
  </si>
  <si>
    <t xml:space="preserve">Baisse de consommation obtenue par consigne et pilotage, pas par contrainte individuelle.</t>
  </si>
  <si>
    <t xml:space="preserve">Plan de sobriété FR hiver 2022 : environ -12 % de consommation de gaz</t>
  </si>
  <si>
    <t xml:space="preserve">Extension · effet immédiat rare côté actif — à réintégrer si l'équilibrage montre l'actif trop lent</t>
  </si>
  <si>
    <t xml:space="preserve">A42</t>
  </si>
  <si>
    <t xml:space="preserve">Efficacité matière et économie circulaire</t>
  </si>
  <si>
    <t xml:space="preserve">Réduit la demande d'acier, de ciment et de plastique. Angle mort de la plupart des politiques.</t>
  </si>
  <si>
    <t xml:space="preserve">Travaux du Shift Project sur l'industrie ; référentiels ADEME</t>
  </si>
  <si>
    <t xml:space="preserve">Extension · angle mort réel des politiques, difficile à modéliser</t>
  </si>
  <si>
    <t xml:space="preserve">A43</t>
  </si>
  <si>
    <t xml:space="preserve">Décarbonation de l'industrie lourde</t>
  </si>
  <si>
    <t xml:space="preserve">Acier à l'hydrogène, ciment bas carbone, chaleur électrifiée. Coût très élevé, incontournable.</t>
  </si>
  <si>
    <t xml:space="preserve">HYBRIT et H2 Green Steel en Suède ; projets suspendus en 2024-2025 faute de rentabilité</t>
  </si>
  <si>
    <t xml:space="preserve">T48</t>
  </si>
  <si>
    <t xml:space="preserve">Extension · coût 5, incontournable à terme ; l'ancrage montre que ça peut échouer (projets suspendus 2024-2025)</t>
  </si>
  <si>
    <t xml:space="preserve">A44</t>
  </si>
  <si>
    <t xml:space="preserve">CCS sur émissions industrielles incompressibles</t>
  </si>
  <si>
    <t xml:space="preserve">Utile sur le ciment et la chimie. Devient un piège dès qu'il est appliqué à la production électrique.</t>
  </si>
  <si>
    <t xml:space="preserve">Sous-performance documentée de Boundary Dam et Petra Nova</t>
  </si>
  <si>
    <t xml:space="preserve">Extension · paire pédagogique avec le piège P07 — réintégrer avec P07 ou pas du tout</t>
  </si>
  <si>
    <t xml:space="preserve">A45</t>
  </si>
  <si>
    <t xml:space="preserve">Puits de carbone et CDR</t>
  </si>
  <si>
    <t xml:space="preserve">À réserver au résiduel. Toute utilisation anticipée fonctionne comme un permis de retarder.</t>
  </si>
  <si>
    <t xml:space="preserve">Effondrement du puits forestier français depuis 2015 ; capacité DACCS mondiale marginale</t>
  </si>
  <si>
    <t xml:space="preserve">P09</t>
  </si>
  <si>
    <t xml:space="preserve">Extension · à réserver au résiduel ; toute utilisation anticipée fonctionne comme un permis de retarder</t>
  </si>
  <si>
    <t xml:space="preserve">A47</t>
  </si>
  <si>
    <t xml:space="preserve">Hydrogène pour l'industrie et le maritime</t>
  </si>
  <si>
    <t xml:space="preserve">Pertinent là où l'électrification directe est impossible. Devient un piège s'il est étendu à la voiture.</t>
  </si>
  <si>
    <t xml:space="preserve">Stratégies hydrogène UE et nationales depuis 2020 ; révisions à la baisse en 2024-2025</t>
  </si>
  <si>
    <t xml:space="preserve">Extension · paire pédagogique avec le piège P04 — réintégrer avec P04 ou pas du tout</t>
  </si>
  <si>
    <t xml:space="preserve">A52</t>
  </si>
  <si>
    <t xml:space="preserve">Désobéissance civile</t>
  </si>
  <si>
    <t xml:space="preserve">Effet ambigu : ouvre la fenêtre pour les acteurs modérés, dégrade la crédibilité du camp. Effet net contesté.</t>
  </si>
  <si>
    <t xml:space="preserve">Just Stop Oil, Dernière Rénovation ; littérature sur le radical flank effect</t>
  </si>
  <si>
    <t xml:space="preserve">Crédibilité</t>
  </si>
  <si>
    <t xml:space="preserve">T37</t>
  </si>
  <si>
    <t xml:space="preserve">Extension · effet net contesté, peut nuire au camp qui le joue. Excellente carte à risque, à tester en priorité</t>
  </si>
  <si>
    <t xml:space="preserve">A56</t>
  </si>
  <si>
    <t xml:space="preserve">Contagion par la norme sociale visible</t>
  </si>
  <si>
    <t xml:space="preserve">Le panneau solaire du voisin convertit mieux qu'une campagne. Effet lent, cumulatif, impossible à contrer.</t>
  </si>
  <si>
    <t xml:space="preserve">Effets de voisinage documentés sur l'adoption du photovoltaïque résidentiel</t>
  </si>
  <si>
    <t xml:space="preserve">Extension · lent, cumulatif, incontrable — vérifier qu'il ne rend pas la partie passive</t>
  </si>
  <si>
    <t xml:space="preserve">A64</t>
  </si>
  <si>
    <t xml:space="preserve">Constitutionnalisation de l'objectif climat</t>
  </si>
  <si>
    <t xml:space="preserve">Verrou juridique le plus fort du catalogue. Coût politique maximal, échec fréquent.</t>
  </si>
  <si>
    <t xml:space="preserve">Référendum constitutionnel français abandonné en 2021</t>
  </si>
  <si>
    <t xml:space="preserve">Extension · niveau Expert, coût politique maximal, échec fréquent</t>
  </si>
  <si>
    <t xml:space="preserve">A66</t>
  </si>
  <si>
    <t xml:space="preserve">Coalition de volontaires</t>
  </si>
  <si>
    <t xml:space="preserve">Contourne l'unanimité en réunissant les blocs disposés à avancer.</t>
  </si>
  <si>
    <t xml:space="preserve">Powering Past Coal Alliance (2017) ; Beyond Oil and Gas Alliance (2021)</t>
  </si>
  <si>
    <t xml:space="preserve">Extension · contourne l'unanimité ; réintégrer si la couche internationale est trop pauvre</t>
  </si>
  <si>
    <t xml:space="preserve">A69</t>
  </si>
  <si>
    <t xml:space="preserve">Standard technique sectoriel mondial</t>
  </si>
  <si>
    <t xml:space="preserve">Passe par les organisations techniques plutôt que par les COP. Lent, invisible, difficile à bloquer.</t>
  </si>
  <si>
    <t xml:space="preserve">Stratégie OMI de décarbonation du transport maritime, révisée en 2023</t>
  </si>
  <si>
    <t xml:space="preserve">Extension · lent et invisible (OMI) — difficile à rendre jouable</t>
  </si>
  <si>
    <t xml:space="preserve">P02</t>
  </si>
  <si>
    <t xml:space="preserve">Plantation d'arbres à grande échelle</t>
  </si>
  <si>
    <t xml:space="preserve">Séduisant et consensuel. Surface disponible insuffisante, permanence non garantie, effet différé de décennies.</t>
  </si>
  <si>
    <t xml:space="preserve">Effondrement du puits forestier français depuis 2015 (sécheresses, scolytes)</t>
  </si>
  <si>
    <t xml:space="preserve">Extension · même mécanisme d'évitement que P01 — un seul des deux dans le noyau</t>
  </si>
  <si>
    <t xml:space="preserve">P03</t>
  </si>
  <si>
    <t xml:space="preserve">Geste individuel présenté comme suffisant</t>
  </si>
  <si>
    <t xml:space="preserve">Tri, douche, gourde. Occupe la ressource Attention du camp Actif pour un effet marginal.</t>
  </si>
  <si>
    <t xml:space="preserve">Filiation directe avec le levier T01 (empreinte carbone individuelle)</t>
  </si>
  <si>
    <t xml:space="preserve">Extension · redondant avec T01 dans le noyau (absorbe P12)</t>
  </si>
  <si>
    <t xml:space="preserve">P06</t>
  </si>
  <si>
    <t xml:space="preserve">Biocarburants de première génération</t>
  </si>
  <si>
    <t xml:space="preserve">Concurrence l'usage alimentaire des sols. Bilan net contesté une fois le changement d'affectation compté.</t>
  </si>
  <si>
    <t xml:space="preserve">Débats sur le colza et l'huile de palme dans les carburants européens</t>
  </si>
  <si>
    <t xml:space="preserve">Extension · bilan net contesté une fois le changement d'affectation des sols compté</t>
  </si>
  <si>
    <t xml:space="preserve">Géoingénierie solaire comme plan A</t>
  </si>
  <si>
    <t xml:space="preserve">Effet de refroidissement réel mais aléa moral massif. Ouvre un risque d'arrêt brutal catastrophique.</t>
  </si>
  <si>
    <t xml:space="preserve">Débats sur l'injection stratosphérique ; moratoires de fait sur les expérimentations</t>
  </si>
  <si>
    <t xml:space="preserve">Extension · niveau Expert, sujet sensible : aléa moral massif, risque d'arrêt brutal</t>
  </si>
  <si>
    <t xml:space="preserve">T06</t>
  </si>
  <si>
    <t xml:space="preserve">Volontariat plutôt que contrainte</t>
  </si>
  <si>
    <t xml:space="preserve">Remplace une mesure contraignante par un engagement volontaire au même coût politique et à effet nul.</t>
  </si>
  <si>
    <t xml:space="preserve">Chartes et accords sectoriels volontaires substitués aux normes</t>
  </si>
  <si>
    <t xml:space="preserve">Extension · redondant avec T07 dans le noyau</t>
  </si>
  <si>
    <t xml:space="preserve">T10</t>
  </si>
  <si>
    <t xml:space="preserve">Whataboutisme des inconvénients</t>
  </si>
  <si>
    <t xml:space="preserve">Cobalt, terres rares, oiseaux, recyclage des pales. Bloque une technologie de substitution sans défendre le fossile.</t>
  </si>
  <si>
    <t xml:space="preserve">Campagnes sur les mines de cobalt et l'impact des éoliennes</t>
  </si>
  <si>
    <t xml:space="preserve">Extension · bloque une technologie de substitution sans défendre le fossile : mécaniquement intéressant</t>
  </si>
  <si>
    <t xml:space="preserve">T14</t>
  </si>
  <si>
    <t xml:space="preserve">Financement politique</t>
  </si>
  <si>
    <t xml:space="preserve">Convertit du capital en capital politique adverse. Très efficace dans les systèmes à financement privé.</t>
  </si>
  <si>
    <t xml:space="preserve">PAC et super PAC du secteur énergétique américain</t>
  </si>
  <si>
    <t xml:space="preserve">Extension · dépend du régime du bloc — à réintégrer si les régimes politiques sont différenciés</t>
  </si>
  <si>
    <t xml:space="preserve">T18</t>
  </si>
  <si>
    <t xml:space="preserve">Occupation des négociations internationales</t>
  </si>
  <si>
    <t xml:space="preserve">Sature la délégation et dilue le texte final. Coût faible, portée mondiale.</t>
  </si>
  <si>
    <t xml:space="preserve">Plus de 2 400 lobbyistes fossiles accrédités à la COP28 (2023)</t>
  </si>
  <si>
    <t xml:space="preserve">Extension · portée mondiale à coût faible ; réintégrer avec la couche internationale</t>
  </si>
  <si>
    <t xml:space="preserve">T27</t>
  </si>
  <si>
    <t xml:space="preserve">Criminalisation de la contestation</t>
  </si>
  <si>
    <t xml:space="preserve">Transforme le levier de désobéissance adverse en handicap de crédibilité.</t>
  </si>
  <si>
    <t xml:space="preserve">Alourdissement des peines pour blocage d'infrastructures au Royaume-Uni depuis 2022</t>
  </si>
  <si>
    <t xml:space="preserve">Extension · transforme A52 en handicap — réintégrer si A52 entre dans le noyau</t>
  </si>
  <si>
    <t xml:space="preserve">T28</t>
  </si>
  <si>
    <t xml:space="preserve">Attaque constitutionnelle de la mesure</t>
  </si>
  <si>
    <t xml:space="preserve">Fait tomber la mesure sur un motif de forme. Crée un précédent qui bloque les tentatives suivantes.</t>
  </si>
  <si>
    <t xml:space="preserve">Censures constitutionnelles de dispositions fiscales environnementales</t>
  </si>
  <si>
    <t xml:space="preserve">Extension · irréversible et crée un précédent : puissant, à équilibrer avec soin</t>
  </si>
  <si>
    <t xml:space="preserve">T29</t>
  </si>
  <si>
    <t xml:space="preserve">Financement de think tanks</t>
  </si>
  <si>
    <t xml:space="preserve">Produit un flux permanent d'arguments et de rapports. Infrastructure, pas coup ponctuel.</t>
  </si>
  <si>
    <t xml:space="preserve">Réseau documenté de fondations et de think tanks anti-régulation depuis les années 1990</t>
  </si>
  <si>
    <t xml:space="preserve">Extension · infrastructure permanente plutôt que coup ponctuel — modéliser comme une amélioration, pas une carte</t>
  </si>
  <si>
    <t xml:space="preserve">T30</t>
  </si>
  <si>
    <t xml:space="preserve">Astroturfing</t>
  </si>
  <si>
    <t xml:space="preserve">Fabrique un mouvement citoyen d'opposition. Fait chuter le soutien perçu sans toucher au réel.</t>
  </si>
  <si>
    <t xml:space="preserve">Faux collectifs de riverains contre l'éolien ; campagnes de cartes postales pré-remplies</t>
  </si>
  <si>
    <t xml:space="preserve">Extension · fait chuter le perçu sans toucher au réel : très bon candidat au noyau en seconde vague</t>
  </si>
  <si>
    <t xml:space="preserve">T35</t>
  </si>
  <si>
    <t xml:space="preserve">Amplification algorithmique</t>
  </si>
  <si>
    <t xml:space="preserve">Multiplie la portée d'un discours existant à coût marginal nul. Levier récent, encore mal cadré.</t>
  </si>
  <si>
    <t xml:space="preserve">Travaux sur la diffusion des contenus climatosceptiques sur les plateformes</t>
  </si>
  <si>
    <t xml:space="preserve">Extension · levier récent, encore mal cadré empiriquement</t>
  </si>
  <si>
    <t xml:space="preserve">Attaque personnalisée</t>
  </si>
  <si>
    <t xml:space="preserve">Cible un scientifique, un militant ou un ministre. Détruit une source de crédibilité adverse.</t>
  </si>
  <si>
    <t xml:space="preserve">Campagnes contre des climatologues depuis le Climategate (2009)</t>
  </si>
  <si>
    <t xml:space="preserve">A58</t>
  </si>
  <si>
    <t xml:space="preserve">Extension · détruit une source de crédibilité adverse — vérifier que ça ne rend pas A54 inutile</t>
  </si>
  <si>
    <t xml:space="preserve">T42</t>
  </si>
  <si>
    <t xml:space="preserve">Récupération du vocabulaire</t>
  </si>
  <si>
    <t xml:space="preserve">S'approprie neutralité carbone, transition, sobriété. Rend le discours adverse indistinguable du sien.</t>
  </si>
  <si>
    <t xml:space="preserve">Généralisation des engagements net zéro sans plan de réduction</t>
  </si>
  <si>
    <t xml:space="preserve">Extension · rend le discours adverse indistinguable du sien : réintégrer si le noyau narratif manque de subtilité</t>
  </si>
  <si>
    <t xml:space="preserve">Cession des actifs sales</t>
  </si>
  <si>
    <t xml:space="preserve">Vend les actifs les plus émetteurs à des acteurs non cotés. Le bilan se nettoie, les émissions continuent.</t>
  </si>
  <si>
    <t xml:space="preserve">Cessions d'actifs pétroliers et charbonniers vers des sociétés privées non soumises au reporting</t>
  </si>
  <si>
    <t xml:space="preserve">Extension · le bilan se nettoie, les émissions continuent. Très instructif, à réintégrer tôt</t>
  </si>
  <si>
    <t xml:space="preserve">T47</t>
  </si>
  <si>
    <t xml:space="preserve">Rachat d'actions plutôt qu'investissement</t>
  </si>
  <si>
    <t xml:space="preserve">Retire du capital du jeu plutôt que de le transformer. Achète la loyauté des actionnaires.</t>
  </si>
  <si>
    <t xml:space="preserve">Records de rachats d'actions des majors pétrolières en 2022-2023</t>
  </si>
  <si>
    <t xml:space="preserve">A26</t>
  </si>
  <si>
    <t xml:space="preserve">Extension · retire du capital du jeu plutôt que de le transformer</t>
  </si>
  <si>
    <t xml:space="preserve">Retrait public d'un engagement</t>
  </si>
  <si>
    <t xml:space="preserve">Abandonne un objectif annoncé. Coût de crédibilité faible si joué en même temps qu'un concurrent.</t>
  </si>
  <si>
    <t xml:space="preserve">Révisions à la baisse des objectifs renouvelables de BP et Shell en 2023-2025</t>
  </si>
  <si>
    <t xml:space="preserve">Extension · cascade avec T49 — les deux ensemble ou aucun</t>
  </si>
  <si>
    <t xml:space="preserve">Sortie d'une alliance climatique</t>
  </si>
  <si>
    <t xml:space="preserve">Vide un engagement collectif de sa substance en provoquant un effet de cascade.</t>
  </si>
  <si>
    <t xml:space="preserve">Départs successifs d'établissements financiers des alliances net zéro en 2024-2025</t>
  </si>
  <si>
    <t xml:space="preserve">Extension · cascade avec T48</t>
  </si>
  <si>
    <t xml:space="preserve">T53</t>
  </si>
  <si>
    <t xml:space="preserve">Arbitrage de juridiction</t>
  </si>
  <si>
    <t xml:space="preserve">Déplace la production vers le bloc le moins contraint. Le carbone ne baisse pas, il change d'adresse.</t>
  </si>
  <si>
    <t xml:space="preserve">Fuite de carbone documentée dans les secteurs intensifs en énergie</t>
  </si>
  <si>
    <t xml:space="preserve">Extension · le carbone change d'adresse. Contré par A03, déjà dans le noyau</t>
  </si>
  <si>
    <t xml:space="preserve">A09</t>
  </si>
  <si>
    <t xml:space="preserve">Obligation de rénovation énergétique</t>
  </si>
  <si>
    <t xml:space="preserve">Impose des travaux au parc existant. Effet lent, friction élevée, capital politique lourd.</t>
  </si>
  <si>
    <t xml:space="preserve">Directive UE performance énergétique des bâtiments, révisée 2024</t>
  </si>
  <si>
    <t xml:space="preserve">Écarté</t>
  </si>
  <si>
    <t xml:space="preserve">Fusionné dans A06 (norme bâtiment) — même effet, même friction, deux cartes redondantes</t>
  </si>
  <si>
    <t xml:space="preserve">A16</t>
  </si>
  <si>
    <t xml:space="preserve">Devoir de vigilance sur la chaîne de valeur</t>
  </si>
  <si>
    <t xml:space="preserve">Étend la responsabilité aux fournisseurs. Ouvre la voie au contentieux privé.</t>
  </si>
  <si>
    <t xml:space="preserve">Loi FR 2017 ; directive CSDDD UE 2024, périmètre réduit en 2025</t>
  </si>
  <si>
    <t xml:space="preserve">Fusionné dans A15 (reporting) — même famille, même contre-levier T20</t>
  </si>
  <si>
    <t xml:space="preserve">A24</t>
  </si>
  <si>
    <t xml:space="preserve">Exigences prudentielles et stress tests climat</t>
  </si>
  <si>
    <t xml:space="preserve">Force les banques à provisionner le risque de transition. Effet lent mais quasi irréversible.</t>
  </si>
  <si>
    <t xml:space="preserve">Stress tests climatiques BCE 2022 ; travaux du NGFS</t>
  </si>
  <si>
    <t xml:space="preserve">Fusionné dans A23 (banque centrale) — encore moins lisible pour le joueur</t>
  </si>
  <si>
    <t xml:space="preserve">Actionnariat actif et résolutions climat</t>
  </si>
  <si>
    <t xml:space="preserve">Change la direction de l'entreprise de l'intérieur. Spectaculaire mais rarement reproductible.</t>
  </si>
  <si>
    <t xml:space="preserve">Engine No. 1 : 3 sièges au conseil d'ExxonMobil, 2021</t>
  </si>
  <si>
    <t xml:space="preserve">Non reproductible : un seul cas réel (Engine No.1, 2021). Devient un événement, pas une carte</t>
  </si>
  <si>
    <t xml:space="preserve">A30</t>
  </si>
  <si>
    <t xml:space="preserve">Partenariat de transition juste (JETP)</t>
  </si>
  <si>
    <t xml:space="preserve">Finance la sortie du charbon d'un bloc tiers. Résultats réels très inférieurs aux annonces.</t>
  </si>
  <si>
    <t xml:space="preserve">JETP Afrique du Sud 2021, Indonésie et Vietnam 2022 : décaissements lents</t>
  </si>
  <si>
    <t xml:space="preserve">Fusionné dans A29 (financement Nord-Sud) — décaissements réels trop faibles pour justifier une carte propre</t>
  </si>
  <si>
    <t xml:space="preserve">A55</t>
  </si>
  <si>
    <t xml:space="preserve">Lanceur d'alerte interne</t>
  </si>
  <si>
    <t xml:space="preserve">Variante d'A54 déclenchée depuis l'intérieur du camp adverse. Aléatoire, très fort quand il tombe.</t>
  </si>
  <si>
    <t xml:space="preserve">Témoignages d'anciens cadres de l'industrie devant le Congrès américain</t>
  </si>
  <si>
    <t xml:space="preserve">Devient un ÉVÉNEMENT aléatoire favorable au camp actif, pas une carte jouable</t>
  </si>
  <si>
    <t xml:space="preserve">Alliance avec le secteur de la santé</t>
  </si>
  <si>
    <t xml:space="preserve">Emprunte la crédibilité d'un tiers non suspect de militantisme. Très difficile à attaquer.</t>
  </si>
  <si>
    <t xml:space="preserve">Prises de position du Lancet Countdown et des ordres médicaux</t>
  </si>
  <si>
    <t xml:space="preserve">Fusionné dans A57 (récit de co-bénéfices) — l'alliance santé est la mise en œuvre du même levier</t>
  </si>
  <si>
    <t xml:space="preserve">A68</t>
  </si>
  <si>
    <t xml:space="preserve">Conditionnalité commerciale</t>
  </si>
  <si>
    <t xml:space="preserve">Lie l'accès au marché au niveau d'exigence climatique. Provoque des accusations de protectionnisme vert.</t>
  </si>
  <si>
    <t xml:space="preserve">Clauses climat des accords commerciaux UE ; interaction avec le MACF</t>
  </si>
  <si>
    <t xml:space="preserve">Fusionné dans A03 (ajustement carbone aux frontières) — même mécanique commerciale</t>
  </si>
  <si>
    <t xml:space="preserve">P11</t>
  </si>
  <si>
    <t xml:space="preserve">Sommet international sans mécanisme contraignant</t>
  </si>
  <si>
    <t xml:space="preserve">Consomme un tour d'attention mondiale et produit une déclaration non opposable.</t>
  </si>
  <si>
    <t xml:space="preserve">Séquences de COP sans décision contraignante sur la sortie des fossiles</t>
  </si>
  <si>
    <t xml:space="preserve">Devient un ÉVÉNEMENT de calendrier (les COP), pas une carte jouable</t>
  </si>
  <si>
    <t xml:space="preserve">P12</t>
  </si>
  <si>
    <t xml:space="preserve">Appel à la sobriété individuelle volontaire</t>
  </si>
  <si>
    <t xml:space="preserve">Sans changement d'infrastructure, l'effet retombe dès la fin de la campagne. À distinguer d'A41.</t>
  </si>
  <si>
    <t xml:space="preserve">Écart entre campagnes de sensibilisation et évolution réelle des consommations</t>
  </si>
  <si>
    <t xml:space="preserve">Fusionné dans P03 (geste individuel) — même mécanisme d'évitement</t>
  </si>
  <si>
    <t xml:space="preserve">T03</t>
  </si>
  <si>
    <t xml:space="preserve">Excuse du passager clandestin</t>
  </si>
  <si>
    <t xml:space="preserve">« Agir seul nous pénalise. » Bloque toute mesure unilatérale tant qu'aucun accord n'existe.</t>
  </si>
  <si>
    <t xml:space="preserve">Argument central des refus de tarification carbone nationale</t>
  </si>
  <si>
    <t xml:space="preserve">Fusionné dans T02 (whataboutisme) — même argument, même effet</t>
  </si>
  <si>
    <t xml:space="preserve">T12</t>
  </si>
  <si>
    <t xml:space="preserve">Impossibilité du changement social</t>
  </si>
  <si>
    <t xml:space="preserve">« La société ne changera jamais. » Abaisse durablement le soutien perçu sans toucher au soutien réel.</t>
  </si>
  <si>
    <t xml:space="preserve">Argument de sens commun mobilisé contre toute mesure structurelle</t>
  </si>
  <si>
    <t xml:space="preserve">Fusionné dans T11 (fatalisme) — même effet sur le soutien perçu</t>
  </si>
  <si>
    <t xml:space="preserve">T15</t>
  </si>
  <si>
    <t xml:space="preserve">Portes tournantes</t>
  </si>
  <si>
    <t xml:space="preserve">Place ses cadres dans l'administration et récupère les régulateurs sortants. Effet permanent, invisible.</t>
  </si>
  <si>
    <t xml:space="preserve">Circulation entre agences énergétiques et industrie</t>
  </si>
  <si>
    <t xml:space="preserve">Fusionné dans T17 (capture réglementaire) — les portes tournantes en sont le moyen, pas un levier distinct</t>
  </si>
  <si>
    <t xml:space="preserve">T16</t>
  </si>
  <si>
    <t xml:space="preserve">Rédaction du texte à la place du législateur</t>
  </si>
  <si>
    <t xml:space="preserve">Fournit un projet de loi clés en main. Transforme une mesure Actif en coquille.</t>
  </si>
  <si>
    <t xml:space="preserve">Model bills diffusés par des organisations comme ALEC aux États-Unis</t>
  </si>
  <si>
    <t xml:space="preserve">Fusionné dans T17 et T20 — la rédaction du texte est une modalité de la capture</t>
  </si>
  <si>
    <t xml:space="preserve">T32</t>
  </si>
  <si>
    <t xml:space="preserve">Sponsoring culturel et sportif</t>
  </si>
  <si>
    <t xml:space="preserve">Achète de la légitimité par association. Cible les publics hors du débat climatique.</t>
  </si>
  <si>
    <t xml:space="preserve">Sponsoring de musées, de festivals et de compétitions par des groupes fossiles</t>
  </si>
  <si>
    <t xml:space="preserve">Puissance 2 et redondant avec T31 (greenwashing). Coupe utile</t>
  </si>
  <si>
    <t xml:space="preserve">T34</t>
  </si>
  <si>
    <t xml:space="preserve">Financement de recherche orientée</t>
  </si>
  <si>
    <t xml:space="preserve">Fabrique de l'incertitude scientifique là où il n'y en a plus. Efficacité en baisse depuis 2015.</t>
  </si>
  <si>
    <t xml:space="preserve">Financements industriels de travaux sur les coûts de la transition</t>
  </si>
  <si>
    <t xml:space="preserve">Écarté volontairement : reproduire du financement de recherche orientée fabrique du contenu pseudo-scientifique dans le jeu. Risque supérieur au bénéfice</t>
  </si>
  <si>
    <t xml:space="preserve">Noyau proposé — 75 leviers</t>
  </si>
  <si>
    <t xml:space="preserve">Groupés par fonction dans la boucle de jeu, et non par famille administrative.</t>
  </si>
  <si>
    <t xml:space="preserve">Boucle émissions — camp actif  (14)</t>
  </si>
  <si>
    <t xml:space="preserve">Ce que le joueur actif joue pour faire baisser la courbe</t>
  </si>
  <si>
    <t xml:space="preserve">Coût</t>
  </si>
  <si>
    <t xml:space="preserve">Puiss.</t>
  </si>
  <si>
    <t xml:space="preserve">Diff.</t>
  </si>
  <si>
    <t xml:space="preserve">Contre</t>
  </si>
  <si>
    <t xml:space="preserve">Rôle</t>
  </si>
  <si>
    <t xml:space="preserve">la tarification icônique, et le générateur de friction du jeu (paire avec A31)</t>
  </si>
  <si>
    <t xml:space="preserve">l'outil de fond, plafond décroissant, faible friction citoyenne</t>
  </si>
  <si>
    <t xml:space="preserve">contre structurel du whataboutisme (T02) et de la fuite de carbone (T53)</t>
  </si>
  <si>
    <t xml:space="preserve">contrainte industrielle sans coût budgétaire ; contre direct de T52</t>
  </si>
  <si>
    <t xml:space="preserve">déclenche l'anticipation industrielle dès l'annonce (puissance 5)</t>
  </si>
  <si>
    <t xml:space="preserve">meilleur rapport effet/coût du catalogue, portée mondiale</t>
  </si>
  <si>
    <t xml:space="preserve">le levier invisible : coût 1, aucun contre-levier. Enseigne que l'efficace n'est pas spectaculaire</t>
  </si>
  <si>
    <t xml:space="preserve">le SEUL levier actif à effet rapide. Indispensable à l'équilibrage</t>
  </si>
  <si>
    <t xml:space="preserve">courbe d'apprentissage : payé par un bloc, bénéficie à tous. Prouve mécaniquement que l'action marche</t>
  </si>
  <si>
    <t xml:space="preserve">PROMU : contre du piège P07. C'est le CfD qui rend le CCS sur centrale économiquement absurde</t>
  </si>
  <si>
    <t xml:space="preserve">prérequis physique : sans réseau, les leviers électriques saturent</t>
  </si>
  <si>
    <t xml:space="preserve">PROMU : contre de T04 (optimisme technologique), et seule carte qui enseigne la latence pure</t>
  </si>
  <si>
    <t xml:space="preserve">multiplicateur de toute décarbonation du mix (puissance 5)</t>
  </si>
  <si>
    <t xml:space="preserve">le secteur le plus verrouillé politiquement ; paire avec T41</t>
  </si>
  <si>
    <t xml:space="preserve">Coalition et friction — camp actif  (7)</t>
  </si>
  <si>
    <t xml:space="preserve">Ce qu'il joue pour que ses mesures survivent au tour suivant</t>
  </si>
  <si>
    <t xml:space="preserve">acheter l'adhésion plutôt que contraindre ; cible du piège T50</t>
  </si>
  <si>
    <t xml:space="preserve">sans lui aucun accord mondial ne tient ; contre de T02</t>
  </si>
  <si>
    <t xml:space="preserve">carte ennuyeuse et décisive. Sans elle, A01 ne survit pas à T39</t>
  </si>
  <si>
    <t xml:space="preserve">convertit le soutien perçu en mandat ; échoue si la jauge perçue est basse</t>
  </si>
  <si>
    <t xml:space="preserve">immunise partiellement contre T39. Coûte cher en concessions</t>
  </si>
  <si>
    <t xml:space="preserve">contourne le blocage national ; paire avec T19 (préemption)</t>
  </si>
  <si>
    <t xml:space="preserve">rend l'inaction publiquement mesurable à chaque tour</t>
  </si>
  <si>
    <t xml:space="preserve">Opinion — camp actif  (6)</t>
  </si>
  <si>
    <t xml:space="preserve">Les deux jauges : réel lent, perçu volatil</t>
  </si>
  <si>
    <t xml:space="preserve">mécanique centrale d'attribution. Sans elle, aucune catastrophe ne déplace de jauge</t>
  </si>
  <si>
    <t xml:space="preserve">mécanique signature du jeu (écart 69 % réel / 43 % perçu). Usage limité par partie</t>
  </si>
  <si>
    <t xml:space="preserve">effet fort et rapidement amorti : bonne courbe de décision</t>
  </si>
  <si>
    <t xml:space="preserve">le seul levier lent et sûr : déplace le réel, incontrable</t>
  </si>
  <si>
    <t xml:space="preserve">irréversible, détruit la crédibilité adverse. Un coup par cible</t>
  </si>
  <si>
    <t xml:space="preserve">santé, facture, air : plus efficace que le récit catastrophe</t>
  </si>
  <si>
    <t xml:space="preserve">Verrous — camp actif  (7)</t>
  </si>
  <si>
    <t xml:space="preserve">Les irréversibles : c'est par là que le camp actif gagne</t>
  </si>
  <si>
    <t xml:space="preserve">budgets pluriannuels contraignants, chaque écart devient attaquable</t>
  </si>
  <si>
    <t xml:space="preserve">PROMU : contre-levier de quatre cartes du noyau (T05, T20, T51, P01). Charnière de la couche institutionnelle</t>
  </si>
  <si>
    <t xml:space="preserve">un projet non assurable ne se finance pas ; branche sur la mécanique de retrait assurantiel</t>
  </si>
  <si>
    <t xml:space="preserve">contourne l'arène électorale par le juge</t>
  </si>
  <si>
    <t xml:space="preserve">irréversible, multi-bloc d'un seul coup (KlimaSeniorinnen 2024)</t>
  </si>
  <si>
    <t xml:space="preserve">irréversible mondial, ouvre la voie aux réparations (CIJ 2025)</t>
  </si>
  <si>
    <t xml:space="preserve">puissance 5, irréversible, presque impossible après polarisation. Objectif de fin de partie</t>
  </si>
  <si>
    <t xml:space="preserve">International — camp actif  (2)</t>
  </si>
  <si>
    <t xml:space="preserve">Coordination et cliquet</t>
  </si>
  <si>
    <t xml:space="preserve">c'est le tour 1 de la partie (Paris, décembre 2015)</t>
  </si>
  <si>
    <t xml:space="preserve">le format le plus efficace jamais signé (Kigali 2016)</t>
  </si>
  <si>
    <t xml:space="preserve">Cartes signature — camp actif  (2)</t>
  </si>
  <si>
    <t xml:space="preserve">Mécaniquement uniques</t>
  </si>
  <si>
    <t xml:space="preserve">le seul levier actif qui attaque directement la ressource Attention adverse</t>
  </si>
  <si>
    <t xml:space="preserve">fracture la coalition écologiste. Arme à double tranchant, incontournable en contexte français. Paire avec le piège P10</t>
  </si>
  <si>
    <t xml:space="preserve">Discours de l'inaction — camp attentiste  (8)</t>
  </si>
  <si>
    <t xml:space="preserve">Coût faible, effet immédiat, aucun vote nécessaire</t>
  </si>
  <si>
    <t xml:space="preserve">déplace la cible de la production vers le consommateur (BP, 2004)</t>
  </si>
  <si>
    <t xml:space="preserve">annule une mesure dans un bloc à faibles émissions relatives</t>
  </si>
  <si>
    <t xml:space="preserve">reporte la décision de N tours contre une promesse future</t>
  </si>
  <si>
    <t xml:space="preserve">fait financer du fossile sur budget climat (puissance 5)</t>
  </si>
  <si>
    <t xml:space="preserve">marque des points d'opinion sans réduire une tonne (puissance 5)</t>
  </si>
  <si>
    <t xml:space="preserve">retourne l'argument social. Dévastateur si A31 n'a pas été joué</t>
  </si>
  <si>
    <t xml:space="preserve">attaque le soutien RÉEL et non le perçu : mécaniquement distinct des autres discours</t>
  </si>
  <si>
    <t xml:space="preserve">puissance croissante avec la température. Le seul levier qui se renforce quand la partie se dégrade</t>
  </si>
  <si>
    <t xml:space="preserve">Institutionnel — camp attentiste  (7)</t>
  </si>
  <si>
    <t xml:space="preserve">Le vote reste, l'effet disparaît</t>
  </si>
  <si>
    <t xml:space="preserve">la base du camp, disponible dès le niveau Découverte</t>
  </si>
  <si>
    <t xml:space="preserve">le vote reste, l'effet disparaît. Mécanique unique et brutale</t>
  </si>
  <si>
    <t xml:space="preserve">annule d'un coup toutes les cartes locales adverses (contre A61)</t>
  </si>
  <si>
    <t xml:space="preserve">vide une norme par simplification, sous le radar médiatique (omnibus UE 2025)</t>
  </si>
  <si>
    <t xml:space="preserve">PROMU : report de 2 à 3 tours sans jamais s'opposer publiquement. Contre de A63</t>
  </si>
  <si>
    <t xml:space="preserve">la mesure passe, le secteur clé en sort (puissance 5)</t>
  </si>
  <si>
    <t xml:space="preserve">fenêtre d'annulation programmée au tour n+3. Mécaniquement très élégant</t>
  </si>
  <si>
    <t xml:space="preserve">Judiciaire — camp attentiste  (3)</t>
  </si>
  <si>
    <t xml:space="preserve">Retarder suffit, gagner n'est pas nécessaire</t>
  </si>
  <si>
    <t xml:space="preserve">fait payer à l'État le coût de sa propre politique. Effet dissuasif au-delà du cas jugé</t>
  </si>
  <si>
    <t xml:space="preserve">gagner n'est pas nécessaire, retarder suffit. Niveau Découverte</t>
  </si>
  <si>
    <t xml:space="preserve">supprime une source d'attribution adverse (contre A54 et A49)</t>
  </si>
  <si>
    <t xml:space="preserve">Narratif — camp attentiste  (7)</t>
  </si>
  <si>
    <t xml:space="preserve">La guerre pour la jauge perçue</t>
  </si>
  <si>
    <t xml:space="preserve">achète du soutien perçu sans réduire d'émissions</t>
  </si>
  <si>
    <t xml:space="preserve">convertit du capital en contrôle durable de l'attention (puissance 5)</t>
  </si>
  <si>
    <t xml:space="preserve">contre direct de A49 : aucune attribution possible ce tour-ci</t>
  </si>
  <si>
    <t xml:space="preserve">irréversible, rend A62 (dépolitisation) impossible pour le reste de la partie</t>
  </si>
  <si>
    <t xml:space="preserve">levier numéro un depuis 2022. Convertit toute mesure non compensée en friction maximale</t>
  </si>
  <si>
    <t xml:space="preserve">rouvre les projets fossiles au nom de la souveraineté. Lié aux cartes géopolitiques</t>
  </si>
  <si>
    <t xml:space="preserve">détache un groupe social de la coalition adverse (contre A60)</t>
  </si>
  <si>
    <t xml:space="preserve">Économique — camp attentiste  (6)</t>
  </si>
  <si>
    <t xml:space="preserve">Le béton et les contrats : ses seuls irréversibles</t>
  </si>
  <si>
    <t xml:space="preserve">verrouille 20 à 40 ans d'émissions. Le principal irréversible du camp</t>
  </si>
  <si>
    <t xml:space="preserve">verrouille par le droit privé ce que la réglementation n'atteint plus</t>
  </si>
  <si>
    <t xml:space="preserve">convertit une mesure en menace territoriale. Niveau Découverte</t>
  </si>
  <si>
    <t xml:space="preserve">PROMU : détourne A19 contre son émetteur. Encaisser l'aide sans changer de trajectoire</t>
  </si>
  <si>
    <t xml:space="preserve">achète des crédits au lieu de réduire. Passerelle vers le piège P01</t>
  </si>
  <si>
    <t xml:space="preserve">inscrit une technologie non viable dans le texte pour en vider l'effet (e-fuels, 2023)</t>
  </si>
  <si>
    <t xml:space="preserve">Pièges — jouables par les deux camps  (6)</t>
  </si>
  <si>
    <t xml:space="preserve">Signalés au niveau Découverte, invisibles ensuite</t>
  </si>
  <si>
    <t xml:space="preserve">le piège n°1, documenté, marché effondré de plus de 60 %</t>
  </si>
  <si>
    <t xml:space="preserve">rendement 3 à 4 fois inférieur à l'électrique à batterie. Pendant piège de A47</t>
  </si>
  <si>
    <t xml:space="preserve">devient une exemption réglementaire réelle (paire avec T52)</t>
  </si>
  <si>
    <t xml:space="preserve">pendant piège de A44 : même technologie, un usage légitime, un usage piège</t>
  </si>
  <si>
    <t xml:space="preserve">le plus répandu. Points d'opinion immédiats, zéro tonne évitée</t>
  </si>
  <si>
    <t xml:space="preserve">le levier nucléaire est réel (A46), c'est le CALENDRIER qui est le piège. Évite que le jeu soit lu comme antinucléaire</t>
  </si>
  <si>
    <t xml:space="preserve">Contrôles de la sélection</t>
  </si>
  <si>
    <t xml:space="preserve">Toutes les valeurs sont calculées depuis l'onglet Catalogue.</t>
  </si>
  <si>
    <t xml:space="preserve">Répartition par verdict</t>
  </si>
  <si>
    <t xml:space="preserve">Nombre</t>
  </si>
  <si>
    <t xml:space="preserve">Puissance moy.</t>
  </si>
  <si>
    <t xml:space="preserve">Coût moy.</t>
  </si>
  <si>
    <t xml:space="preserve">Noyau par camp — l'asymétrie est-elle conservée ?</t>
  </si>
  <si>
    <t xml:space="preserve">Retenus</t>
  </si>
  <si>
    <t xml:space="preserve">Référence catalogue complet</t>
  </si>
  <si>
    <t xml:space="preserve">134</t>
  </si>
  <si>
    <t xml:space="preserve">Actif 3,4 / Attentiste 4,0</t>
  </si>
  <si>
    <t xml:space="preserve">3,2 / 2,6</t>
  </si>
  <si>
    <t xml:space="preserve">Déblocage par niveau de difficulté</t>
  </si>
  <si>
    <t xml:space="preserve">Niveau</t>
  </si>
  <si>
    <t xml:space="preserve">Nouvelles cartes</t>
  </si>
  <si>
    <t xml:space="preserve">Cumul jouable</t>
  </si>
  <si>
    <t xml:space="preserve">1 — Découverte</t>
  </si>
  <si>
    <t xml:space="preserve">2 — Standard</t>
  </si>
  <si>
    <t xml:space="preserve">3 — Réaliste</t>
  </si>
  <si>
    <t xml:space="preserve">4 — Expert</t>
  </si>
  <si>
    <t xml:space="preserve">Contrôle de cohérence des contre-leviers</t>
  </si>
  <si>
    <t xml:space="preserve">Règle : tout levier retenu doit avoir son contre-levier retenu, sinon il est imblocable ou sans cible.</t>
  </si>
  <si>
    <t xml:space="preserve">Levier retenu</t>
  </si>
  <si>
    <t xml:space="preserve">Contre-levier attendu</t>
  </si>
  <si>
    <t xml:space="preserve">Statut du contre</t>
  </si>
  <si>
    <t xml:space="preserve">Décision</t>
  </si>
  <si>
    <t xml:space="preserve">A27 — Retrait de l'assurance sur les projets fossiles</t>
  </si>
  <si>
    <t xml:space="preserve">T49 — Sortie d'une alliance climatique</t>
  </si>
  <si>
    <t xml:space="preserve">Trou assumé — A27 reste contré indirectement par T43 (verrouillage) et T46 (cession d'actifs)</t>
  </si>
  <si>
    <t xml:space="preserve">T31 — Greenwashing publicitaire</t>
  </si>
  <si>
    <t xml:space="preserve">A37 — Contentieux publicité mensongère / climate-washing</t>
  </si>
  <si>
    <t xml:space="preserve">Trou assumé — A17 (interdiction de la publicité fossile) le couvre partiellement</t>
  </si>
  <si>
    <t xml:space="preserve">Trous restants : 2 sur 75 leviers retenus</t>
  </si>
  <si>
    <t xml:space="preserve">Paires piège / levier légitime — à conserver ou à retirer ensemble</t>
  </si>
  <si>
    <t xml:space="preserve">Levier légitime</t>
  </si>
  <si>
    <t xml:space="preserve">Piège jumeau</t>
  </si>
  <si>
    <t xml:space="preserve">Ce que la paire enseigne</t>
  </si>
  <si>
    <t xml:space="preserve">A44 — CCS industriel</t>
  </si>
  <si>
    <t xml:space="preserve">P07 — CCS sur centrale</t>
  </si>
  <si>
    <t xml:space="preserve">Même technologie : un usage défendable, un usage de report</t>
  </si>
  <si>
    <t xml:space="preserve">A47 — Hydrogène industrie</t>
  </si>
  <si>
    <t xml:space="preserve">P04 — Hydrogène voiture</t>
  </si>
  <si>
    <t xml:space="preserve">Même vecteur : pertinent où l'électrification directe est impossible, absurde ailleurs</t>
  </si>
  <si>
    <t xml:space="preserve">A46 — Programme nucléaire</t>
  </si>
  <si>
    <t xml:space="preserve">P10 — Nucléaire pour 2030</t>
  </si>
  <si>
    <t xml:space="preserve">Le levier est réel, c'est le CALENDRIER qui est le piège</t>
  </si>
  <si>
    <t xml:space="preserve">A02 — Marché de quotas</t>
  </si>
  <si>
    <t xml:space="preserve">P01 — Compensation volontaire</t>
  </si>
  <si>
    <t xml:space="preserve">Un plafond contraignant contre un crédit non additionnel</t>
  </si>
  <si>
    <t xml:space="preserve">Attention : A44 et A47 sont actuellement en « À tester » alors que leurs pièges jumeaux P07 et P04 sont retenus.</t>
  </si>
  <si>
    <t xml:space="preserve">Décision à prendre : remonter A44 et A47 dans le noyau, ou redescendre P07 et P04.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</si>
</sst>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sz val="10"/>
      <color rgb="FF595959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2"/>
      <color rgb="FFC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AD3"/>
        <bgColor rgb="FFEFEFEF"/>
      </patternFill>
    </fill>
    <fill>
      <patternFill patternType="solid">
        <fgColor rgb="FFFFF2CC"/>
        <bgColor rgb="FFEFEFEF"/>
      </patternFill>
    </fill>
    <fill>
      <patternFill patternType="solid">
        <fgColor rgb="FFEFEFEF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17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EFEFE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FEFE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2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/>
    </row>
    <row r="5" customFormat="false" ht="15" hidden="false" customHeight="false" outlineLevel="0" collapsed="false">
      <c r="B5" s="4" t="s">
        <v>2</v>
      </c>
    </row>
    <row r="6" customFormat="false" ht="15" hidden="false" customHeight="false" outlineLevel="0" collapsed="false">
      <c r="B6" s="5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3"/>
    </row>
    <row r="11" customFormat="false" ht="15" hidden="false" customHeight="false" outlineLevel="0" collapsed="false">
      <c r="B11" s="4" t="s">
        <v>7</v>
      </c>
    </row>
    <row r="12" customFormat="false" ht="15" hidden="false" customHeight="false" outlineLevel="0" collapsed="false">
      <c r="B12" s="5" t="s">
        <v>8</v>
      </c>
    </row>
    <row r="13" customFormat="false" ht="15" hidden="false" customHeight="false" outlineLevel="0" collapsed="false">
      <c r="B13" s="5" t="s">
        <v>9</v>
      </c>
    </row>
    <row r="14" customFormat="false" ht="15" hidden="false" customHeight="false" outlineLevel="0" collapsed="false">
      <c r="B14" s="5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5" t="s">
        <v>12</v>
      </c>
    </row>
    <row r="17" customFormat="false" ht="15" hidden="false" customHeight="false" outlineLevel="0" collapsed="false">
      <c r="B17" s="3"/>
    </row>
    <row r="18" customFormat="false" ht="15" hidden="false" customHeight="false" outlineLevel="0" collapsed="false">
      <c r="B18" s="4" t="s">
        <v>13</v>
      </c>
    </row>
    <row r="19" customFormat="false" ht="15" hidden="false" customHeight="false" outlineLevel="0" collapsed="false">
      <c r="B19" s="5" t="s">
        <v>14</v>
      </c>
    </row>
    <row r="20" customFormat="false" ht="15" hidden="false" customHeight="false" outlineLevel="0" collapsed="false">
      <c r="B20" s="5" t="s">
        <v>15</v>
      </c>
    </row>
    <row r="21" customFormat="false" ht="15" hidden="false" customHeight="false" outlineLevel="0" collapsed="false">
      <c r="B21" s="5" t="s">
        <v>16</v>
      </c>
    </row>
    <row r="22" customFormat="false" ht="15" hidden="false" customHeight="false" outlineLevel="0" collapsed="false">
      <c r="B22" s="3"/>
    </row>
    <row r="23" customFormat="false" ht="15" hidden="false" customHeight="false" outlineLevel="0" collapsed="false">
      <c r="B23" s="6" t="s">
        <v>17</v>
      </c>
    </row>
    <row r="24" customFormat="false" ht="15" hidden="false" customHeight="false" outlineLevel="0" collapsed="false">
      <c r="B24" s="5" t="s">
        <v>18</v>
      </c>
    </row>
    <row r="25" customFormat="false" ht="15" hidden="false" customHeight="false" outlineLevel="0" collapsed="false">
      <c r="B25" s="5" t="s">
        <v>19</v>
      </c>
    </row>
    <row r="26" customFormat="false" ht="15" hidden="false" customHeight="false" outlineLevel="0" collapsed="false">
      <c r="B26" s="5" t="s">
        <v>20</v>
      </c>
    </row>
    <row r="27" customFormat="false" ht="15" hidden="false" customHeight="false" outlineLevel="0" collapsed="false">
      <c r="B27" s="5" t="s">
        <v>21</v>
      </c>
    </row>
    <row r="28" customFormat="false" ht="15" hidden="false" customHeight="false" outlineLevel="0" collapsed="false">
      <c r="B28" s="5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6"/>
    <col collapsed="false" customWidth="true" hidden="false" outlineLevel="0" max="4" min="4" style="0" width="34"/>
    <col collapsed="false" customWidth="true" hidden="false" outlineLevel="0" max="5" min="5" style="0" width="60"/>
    <col collapsed="false" customWidth="true" hidden="false" outlineLevel="0" max="6" min="6" style="0" width="56"/>
    <col collapsed="false" customWidth="true" hidden="false" outlineLevel="0" max="8" min="7" style="0" width="18"/>
    <col collapsed="false" customWidth="true" hidden="false" outlineLevel="0" max="9" min="9" style="0" width="10"/>
    <col collapsed="false" customWidth="true" hidden="false" outlineLevel="0" max="11" min="10" style="0" width="12"/>
    <col collapsed="false" customWidth="true" hidden="false" outlineLevel="0" max="12" min="12" style="0" width="20"/>
    <col collapsed="false" customWidth="true" hidden="false" outlineLevel="0" max="16" min="13" style="0" width="12"/>
    <col collapsed="false" customWidth="true" hidden="false" outlineLevel="0" max="17" min="17" style="0" width="72"/>
  </cols>
  <sheetData>
    <row r="1" customFormat="false" ht="31.5" hidden="false" customHeight="true" outlineLevel="0" collapsed="false">
      <c r="A1" s="7" t="s">
        <v>23</v>
      </c>
      <c r="B1" s="7" t="s">
        <v>24</v>
      </c>
      <c r="C1" s="7" t="s">
        <v>25</v>
      </c>
      <c r="D1" s="7" t="s">
        <v>26</v>
      </c>
      <c r="E1" s="7" t="s">
        <v>27</v>
      </c>
      <c r="F1" s="7" t="s">
        <v>28</v>
      </c>
      <c r="G1" s="7" t="s">
        <v>29</v>
      </c>
      <c r="H1" s="7" t="s">
        <v>30</v>
      </c>
      <c r="I1" s="7" t="s">
        <v>31</v>
      </c>
      <c r="J1" s="7" t="s">
        <v>32</v>
      </c>
      <c r="K1" s="7" t="s">
        <v>33</v>
      </c>
      <c r="L1" s="7" t="s">
        <v>34</v>
      </c>
      <c r="M1" s="7" t="s">
        <v>35</v>
      </c>
      <c r="N1" s="7" t="s">
        <v>36</v>
      </c>
      <c r="O1" s="7" t="s">
        <v>37</v>
      </c>
      <c r="P1" s="7" t="s">
        <v>38</v>
      </c>
      <c r="Q1" s="7" t="s">
        <v>39</v>
      </c>
    </row>
    <row r="2" customFormat="false" ht="45.75" hidden="false" customHeight="true" outlineLevel="0" collapsed="false">
      <c r="A2" s="8" t="s">
        <v>40</v>
      </c>
      <c r="B2" s="8" t="s">
        <v>41</v>
      </c>
      <c r="C2" s="9" t="s">
        <v>42</v>
      </c>
      <c r="D2" s="9" t="s">
        <v>43</v>
      </c>
      <c r="E2" s="9" t="s">
        <v>44</v>
      </c>
      <c r="F2" s="9" t="s">
        <v>45</v>
      </c>
      <c r="G2" s="8" t="s">
        <v>46</v>
      </c>
      <c r="H2" s="8" t="s">
        <v>47</v>
      </c>
      <c r="I2" s="8" t="n">
        <v>4</v>
      </c>
      <c r="J2" s="8" t="n">
        <v>4</v>
      </c>
      <c r="K2" s="8" t="s">
        <v>48</v>
      </c>
      <c r="L2" s="8" t="s">
        <v>49</v>
      </c>
      <c r="M2" s="8" t="s">
        <v>50</v>
      </c>
      <c r="N2" s="8" t="n">
        <v>1</v>
      </c>
      <c r="O2" s="8" t="s">
        <v>51</v>
      </c>
      <c r="P2" s="10" t="s">
        <v>52</v>
      </c>
      <c r="Q2" s="9" t="s">
        <v>53</v>
      </c>
    </row>
    <row r="3" customFormat="false" ht="45.75" hidden="false" customHeight="true" outlineLevel="0" collapsed="false">
      <c r="A3" s="8" t="s">
        <v>54</v>
      </c>
      <c r="B3" s="8" t="s">
        <v>41</v>
      </c>
      <c r="C3" s="9" t="s">
        <v>42</v>
      </c>
      <c r="D3" s="9" t="s">
        <v>55</v>
      </c>
      <c r="E3" s="9" t="s">
        <v>56</v>
      </c>
      <c r="F3" s="9" t="s">
        <v>57</v>
      </c>
      <c r="G3" s="8" t="s">
        <v>58</v>
      </c>
      <c r="H3" s="8" t="s">
        <v>47</v>
      </c>
      <c r="I3" s="8" t="n">
        <v>3</v>
      </c>
      <c r="J3" s="8" t="n">
        <v>4</v>
      </c>
      <c r="K3" s="8" t="s">
        <v>48</v>
      </c>
      <c r="L3" s="8" t="s">
        <v>59</v>
      </c>
      <c r="M3" s="8" t="s">
        <v>50</v>
      </c>
      <c r="N3" s="8" t="n">
        <v>2</v>
      </c>
      <c r="O3" s="8" t="s">
        <v>60</v>
      </c>
      <c r="P3" s="10" t="s">
        <v>52</v>
      </c>
      <c r="Q3" s="9" t="s">
        <v>61</v>
      </c>
    </row>
    <row r="4" customFormat="false" ht="45.75" hidden="false" customHeight="true" outlineLevel="0" collapsed="false">
      <c r="A4" s="8" t="s">
        <v>62</v>
      </c>
      <c r="B4" s="8" t="s">
        <v>41</v>
      </c>
      <c r="C4" s="9" t="s">
        <v>42</v>
      </c>
      <c r="D4" s="9" t="s">
        <v>63</v>
      </c>
      <c r="E4" s="9" t="s">
        <v>64</v>
      </c>
      <c r="F4" s="9" t="s">
        <v>65</v>
      </c>
      <c r="G4" s="8" t="s">
        <v>58</v>
      </c>
      <c r="H4" s="8" t="s">
        <v>47</v>
      </c>
      <c r="I4" s="8" t="n">
        <v>4</v>
      </c>
      <c r="J4" s="8" t="n">
        <v>3</v>
      </c>
      <c r="K4" s="8" t="s">
        <v>48</v>
      </c>
      <c r="L4" s="8" t="s">
        <v>59</v>
      </c>
      <c r="M4" s="8" t="s">
        <v>66</v>
      </c>
      <c r="N4" s="8" t="n">
        <v>3</v>
      </c>
      <c r="O4" s="8" t="s">
        <v>67</v>
      </c>
      <c r="P4" s="10" t="s">
        <v>52</v>
      </c>
      <c r="Q4" s="9" t="s">
        <v>68</v>
      </c>
    </row>
    <row r="5" customFormat="false" ht="45.75" hidden="false" customHeight="true" outlineLevel="0" collapsed="false">
      <c r="A5" s="8" t="s">
        <v>69</v>
      </c>
      <c r="B5" s="8" t="s">
        <v>41</v>
      </c>
      <c r="C5" s="9" t="s">
        <v>42</v>
      </c>
      <c r="D5" s="9" t="s">
        <v>70</v>
      </c>
      <c r="E5" s="9" t="s">
        <v>71</v>
      </c>
      <c r="F5" s="9" t="s">
        <v>72</v>
      </c>
      <c r="G5" s="8" t="s">
        <v>58</v>
      </c>
      <c r="H5" s="8" t="s">
        <v>47</v>
      </c>
      <c r="I5" s="8" t="n">
        <v>2</v>
      </c>
      <c r="J5" s="8" t="n">
        <v>4</v>
      </c>
      <c r="K5" s="8" t="s">
        <v>48</v>
      </c>
      <c r="L5" s="8" t="s">
        <v>59</v>
      </c>
      <c r="M5" s="8" t="s">
        <v>50</v>
      </c>
      <c r="N5" s="8" t="n">
        <v>1</v>
      </c>
      <c r="O5" s="8" t="s">
        <v>73</v>
      </c>
      <c r="P5" s="10" t="s">
        <v>52</v>
      </c>
      <c r="Q5" s="9" t="s">
        <v>74</v>
      </c>
    </row>
    <row r="6" customFormat="false" ht="45.75" hidden="false" customHeight="true" outlineLevel="0" collapsed="false">
      <c r="A6" s="8" t="s">
        <v>75</v>
      </c>
      <c r="B6" s="8" t="s">
        <v>41</v>
      </c>
      <c r="C6" s="9" t="s">
        <v>42</v>
      </c>
      <c r="D6" s="9" t="s">
        <v>76</v>
      </c>
      <c r="E6" s="9" t="s">
        <v>77</v>
      </c>
      <c r="F6" s="9" t="s">
        <v>78</v>
      </c>
      <c r="G6" s="8" t="s">
        <v>79</v>
      </c>
      <c r="H6" s="8" t="s">
        <v>47</v>
      </c>
      <c r="I6" s="8" t="n">
        <v>4</v>
      </c>
      <c r="J6" s="8" t="n">
        <v>5</v>
      </c>
      <c r="K6" s="8" t="s">
        <v>48</v>
      </c>
      <c r="L6" s="8" t="s">
        <v>49</v>
      </c>
      <c r="M6" s="8" t="s">
        <v>50</v>
      </c>
      <c r="N6" s="8" t="n">
        <v>2</v>
      </c>
      <c r="O6" s="8" t="s">
        <v>80</v>
      </c>
      <c r="P6" s="10" t="s">
        <v>52</v>
      </c>
      <c r="Q6" s="9" t="s">
        <v>81</v>
      </c>
    </row>
    <row r="7" customFormat="false" ht="45.75" hidden="false" customHeight="true" outlineLevel="0" collapsed="false">
      <c r="A7" s="8" t="s">
        <v>82</v>
      </c>
      <c r="B7" s="8" t="s">
        <v>41</v>
      </c>
      <c r="C7" s="9" t="s">
        <v>42</v>
      </c>
      <c r="D7" s="9" t="s">
        <v>83</v>
      </c>
      <c r="E7" s="9" t="s">
        <v>84</v>
      </c>
      <c r="F7" s="9" t="s">
        <v>85</v>
      </c>
      <c r="G7" s="8" t="s">
        <v>46</v>
      </c>
      <c r="H7" s="8" t="s">
        <v>47</v>
      </c>
      <c r="I7" s="8" t="n">
        <v>5</v>
      </c>
      <c r="J7" s="8" t="n">
        <v>5</v>
      </c>
      <c r="K7" s="8" t="s">
        <v>86</v>
      </c>
      <c r="L7" s="8" t="s">
        <v>49</v>
      </c>
      <c r="M7" s="8" t="s">
        <v>50</v>
      </c>
      <c r="N7" s="8" t="n">
        <v>2</v>
      </c>
      <c r="O7" s="8" t="s">
        <v>51</v>
      </c>
      <c r="P7" s="10" t="s">
        <v>52</v>
      </c>
      <c r="Q7" s="9" t="s">
        <v>87</v>
      </c>
    </row>
    <row r="8" customFormat="false" ht="45.75" hidden="false" customHeight="true" outlineLevel="0" collapsed="false">
      <c r="A8" s="8" t="s">
        <v>88</v>
      </c>
      <c r="B8" s="8" t="s">
        <v>41</v>
      </c>
      <c r="C8" s="9" t="s">
        <v>42</v>
      </c>
      <c r="D8" s="9" t="s">
        <v>89</v>
      </c>
      <c r="E8" s="9" t="s">
        <v>90</v>
      </c>
      <c r="F8" s="9" t="s">
        <v>91</v>
      </c>
      <c r="G8" s="8" t="s">
        <v>58</v>
      </c>
      <c r="H8" s="8" t="s">
        <v>47</v>
      </c>
      <c r="I8" s="8" t="n">
        <v>1</v>
      </c>
      <c r="J8" s="8" t="n">
        <v>3</v>
      </c>
      <c r="K8" s="8" t="s">
        <v>48</v>
      </c>
      <c r="L8" s="8" t="s">
        <v>59</v>
      </c>
      <c r="M8" s="8" t="s">
        <v>50</v>
      </c>
      <c r="N8" s="8" t="n">
        <v>1</v>
      </c>
      <c r="O8" s="8" t="s">
        <v>92</v>
      </c>
      <c r="P8" s="10" t="s">
        <v>52</v>
      </c>
      <c r="Q8" s="9" t="s">
        <v>93</v>
      </c>
    </row>
    <row r="9" customFormat="false" ht="45.75" hidden="false" customHeight="true" outlineLevel="0" collapsed="false">
      <c r="A9" s="8" t="s">
        <v>94</v>
      </c>
      <c r="B9" s="8" t="s">
        <v>41</v>
      </c>
      <c r="C9" s="9" t="s">
        <v>42</v>
      </c>
      <c r="D9" s="9" t="s">
        <v>95</v>
      </c>
      <c r="E9" s="9" t="s">
        <v>96</v>
      </c>
      <c r="F9" s="9" t="s">
        <v>97</v>
      </c>
      <c r="G9" s="8" t="s">
        <v>46</v>
      </c>
      <c r="H9" s="8" t="s">
        <v>47</v>
      </c>
      <c r="I9" s="8" t="n">
        <v>2</v>
      </c>
      <c r="J9" s="8" t="n">
        <v>4</v>
      </c>
      <c r="K9" s="8" t="s">
        <v>98</v>
      </c>
      <c r="L9" s="8" t="s">
        <v>59</v>
      </c>
      <c r="M9" s="8" t="s">
        <v>50</v>
      </c>
      <c r="N9" s="8" t="n">
        <v>2</v>
      </c>
      <c r="O9" s="8" t="s">
        <v>60</v>
      </c>
      <c r="P9" s="10" t="s">
        <v>52</v>
      </c>
      <c r="Q9" s="9" t="s">
        <v>99</v>
      </c>
    </row>
    <row r="10" customFormat="false" ht="45.75" hidden="false" customHeight="true" outlineLevel="0" collapsed="false">
      <c r="A10" s="8" t="s">
        <v>100</v>
      </c>
      <c r="B10" s="8" t="s">
        <v>41</v>
      </c>
      <c r="C10" s="9" t="s">
        <v>42</v>
      </c>
      <c r="D10" s="9" t="s">
        <v>101</v>
      </c>
      <c r="E10" s="9" t="s">
        <v>102</v>
      </c>
      <c r="F10" s="9" t="s">
        <v>103</v>
      </c>
      <c r="G10" s="8" t="s">
        <v>79</v>
      </c>
      <c r="H10" s="8" t="s">
        <v>47</v>
      </c>
      <c r="I10" s="8" t="n">
        <v>4</v>
      </c>
      <c r="J10" s="8" t="n">
        <v>5</v>
      </c>
      <c r="K10" s="8" t="s">
        <v>48</v>
      </c>
      <c r="L10" s="8" t="s">
        <v>59</v>
      </c>
      <c r="M10" s="8" t="s">
        <v>50</v>
      </c>
      <c r="N10" s="8" t="n">
        <v>2</v>
      </c>
      <c r="O10" s="8" t="s">
        <v>104</v>
      </c>
      <c r="P10" s="10" t="s">
        <v>52</v>
      </c>
      <c r="Q10" s="9" t="s">
        <v>105</v>
      </c>
    </row>
    <row r="11" customFormat="false" ht="45.75" hidden="false" customHeight="true" outlineLevel="0" collapsed="false">
      <c r="A11" s="8" t="s">
        <v>106</v>
      </c>
      <c r="B11" s="8" t="s">
        <v>41</v>
      </c>
      <c r="C11" s="9" t="s">
        <v>42</v>
      </c>
      <c r="D11" s="9" t="s">
        <v>107</v>
      </c>
      <c r="E11" s="9" t="s">
        <v>108</v>
      </c>
      <c r="F11" s="9" t="s">
        <v>109</v>
      </c>
      <c r="G11" s="8" t="s">
        <v>58</v>
      </c>
      <c r="H11" s="8" t="s">
        <v>47</v>
      </c>
      <c r="I11" s="8" t="n">
        <v>2</v>
      </c>
      <c r="J11" s="8" t="n">
        <v>3</v>
      </c>
      <c r="K11" s="8" t="s">
        <v>48</v>
      </c>
      <c r="L11" s="8" t="s">
        <v>49</v>
      </c>
      <c r="M11" s="8" t="s">
        <v>66</v>
      </c>
      <c r="N11" s="8" t="n">
        <v>3</v>
      </c>
      <c r="O11" s="8" t="s">
        <v>110</v>
      </c>
      <c r="P11" s="10" t="s">
        <v>52</v>
      </c>
      <c r="Q11" s="9" t="s">
        <v>111</v>
      </c>
    </row>
    <row r="12" customFormat="false" ht="45.75" hidden="false" customHeight="true" outlineLevel="0" collapsed="false">
      <c r="A12" s="8" t="s">
        <v>112</v>
      </c>
      <c r="B12" s="8" t="s">
        <v>41</v>
      </c>
      <c r="C12" s="9" t="s">
        <v>42</v>
      </c>
      <c r="D12" s="9" t="s">
        <v>113</v>
      </c>
      <c r="E12" s="9" t="s">
        <v>114</v>
      </c>
      <c r="F12" s="9" t="s">
        <v>115</v>
      </c>
      <c r="G12" s="8" t="s">
        <v>58</v>
      </c>
      <c r="H12" s="8" t="s">
        <v>47</v>
      </c>
      <c r="I12" s="8" t="n">
        <v>2</v>
      </c>
      <c r="J12" s="8" t="n">
        <v>2</v>
      </c>
      <c r="K12" s="8" t="s">
        <v>48</v>
      </c>
      <c r="L12" s="8" t="s">
        <v>49</v>
      </c>
      <c r="M12" s="8" t="s">
        <v>66</v>
      </c>
      <c r="N12" s="8" t="n">
        <v>3</v>
      </c>
      <c r="O12" s="8" t="s">
        <v>116</v>
      </c>
      <c r="P12" s="10" t="s">
        <v>52</v>
      </c>
      <c r="Q12" s="9" t="s">
        <v>117</v>
      </c>
    </row>
    <row r="13" customFormat="false" ht="45.75" hidden="false" customHeight="true" outlineLevel="0" collapsed="false">
      <c r="A13" s="8" t="s">
        <v>118</v>
      </c>
      <c r="B13" s="8" t="s">
        <v>41</v>
      </c>
      <c r="C13" s="9" t="s">
        <v>119</v>
      </c>
      <c r="D13" s="9" t="s">
        <v>120</v>
      </c>
      <c r="E13" s="9" t="s">
        <v>121</v>
      </c>
      <c r="F13" s="9" t="s">
        <v>122</v>
      </c>
      <c r="G13" s="8" t="s">
        <v>79</v>
      </c>
      <c r="H13" s="8" t="s">
        <v>123</v>
      </c>
      <c r="I13" s="8" t="n">
        <v>5</v>
      </c>
      <c r="J13" s="8" t="n">
        <v>5</v>
      </c>
      <c r="K13" s="8" t="s">
        <v>86</v>
      </c>
      <c r="L13" s="8" t="s">
        <v>59</v>
      </c>
      <c r="M13" s="8" t="s">
        <v>50</v>
      </c>
      <c r="N13" s="8" t="n">
        <v>1</v>
      </c>
      <c r="O13" s="8" t="s">
        <v>92</v>
      </c>
      <c r="P13" s="10" t="s">
        <v>52</v>
      </c>
      <c r="Q13" s="9" t="s">
        <v>124</v>
      </c>
    </row>
    <row r="14" customFormat="false" ht="45.75" hidden="false" customHeight="true" outlineLevel="0" collapsed="false">
      <c r="A14" s="8" t="s">
        <v>125</v>
      </c>
      <c r="B14" s="8" t="s">
        <v>41</v>
      </c>
      <c r="C14" s="9" t="s">
        <v>119</v>
      </c>
      <c r="D14" s="9" t="s">
        <v>126</v>
      </c>
      <c r="E14" s="9" t="s">
        <v>127</v>
      </c>
      <c r="F14" s="9" t="s">
        <v>128</v>
      </c>
      <c r="G14" s="8" t="s">
        <v>58</v>
      </c>
      <c r="H14" s="8" t="s">
        <v>123</v>
      </c>
      <c r="I14" s="8" t="n">
        <v>5</v>
      </c>
      <c r="J14" s="8" t="n">
        <v>4</v>
      </c>
      <c r="K14" s="8" t="s">
        <v>48</v>
      </c>
      <c r="L14" s="8" t="s">
        <v>49</v>
      </c>
      <c r="M14" s="8" t="s">
        <v>50</v>
      </c>
      <c r="N14" s="8" t="n">
        <v>1</v>
      </c>
      <c r="O14" s="8" t="s">
        <v>129</v>
      </c>
      <c r="P14" s="10" t="s">
        <v>52</v>
      </c>
      <c r="Q14" s="9" t="s">
        <v>130</v>
      </c>
    </row>
    <row r="15" customFormat="false" ht="45.75" hidden="false" customHeight="true" outlineLevel="0" collapsed="false">
      <c r="A15" s="8" t="s">
        <v>131</v>
      </c>
      <c r="B15" s="8" t="s">
        <v>41</v>
      </c>
      <c r="C15" s="9" t="s">
        <v>119</v>
      </c>
      <c r="D15" s="9" t="s">
        <v>132</v>
      </c>
      <c r="E15" s="9" t="s">
        <v>133</v>
      </c>
      <c r="F15" s="9" t="s">
        <v>134</v>
      </c>
      <c r="G15" s="8" t="s">
        <v>58</v>
      </c>
      <c r="H15" s="8" t="s">
        <v>123</v>
      </c>
      <c r="I15" s="8" t="n">
        <v>3</v>
      </c>
      <c r="J15" s="8" t="n">
        <v>4</v>
      </c>
      <c r="K15" s="8" t="s">
        <v>48</v>
      </c>
      <c r="L15" s="8" t="s">
        <v>59</v>
      </c>
      <c r="M15" s="8" t="s">
        <v>50</v>
      </c>
      <c r="N15" s="8" t="n">
        <v>2</v>
      </c>
      <c r="O15" s="8" t="s">
        <v>92</v>
      </c>
      <c r="P15" s="10" t="s">
        <v>52</v>
      </c>
      <c r="Q15" s="9" t="s">
        <v>135</v>
      </c>
    </row>
    <row r="16" customFormat="false" ht="45.75" hidden="false" customHeight="true" outlineLevel="0" collapsed="false">
      <c r="A16" s="8" t="s">
        <v>136</v>
      </c>
      <c r="B16" s="8" t="s">
        <v>41</v>
      </c>
      <c r="C16" s="9" t="s">
        <v>119</v>
      </c>
      <c r="D16" s="9" t="s">
        <v>137</v>
      </c>
      <c r="E16" s="9" t="s">
        <v>138</v>
      </c>
      <c r="F16" s="9" t="s">
        <v>139</v>
      </c>
      <c r="G16" s="8" t="s">
        <v>79</v>
      </c>
      <c r="H16" s="8" t="s">
        <v>123</v>
      </c>
      <c r="I16" s="8" t="n">
        <v>5</v>
      </c>
      <c r="J16" s="8" t="n">
        <v>4</v>
      </c>
      <c r="K16" s="8" t="s">
        <v>48</v>
      </c>
      <c r="L16" s="8" t="s">
        <v>59</v>
      </c>
      <c r="M16" s="8" t="s">
        <v>50</v>
      </c>
      <c r="N16" s="8" t="n">
        <v>2</v>
      </c>
      <c r="O16" s="8" t="s">
        <v>92</v>
      </c>
      <c r="P16" s="10" t="s">
        <v>52</v>
      </c>
      <c r="Q16" s="9" t="s">
        <v>140</v>
      </c>
    </row>
    <row r="17" customFormat="false" ht="45.75" hidden="false" customHeight="true" outlineLevel="0" collapsed="false">
      <c r="A17" s="8" t="s">
        <v>141</v>
      </c>
      <c r="B17" s="8" t="s">
        <v>41</v>
      </c>
      <c r="C17" s="9" t="s">
        <v>119</v>
      </c>
      <c r="D17" s="9" t="s">
        <v>142</v>
      </c>
      <c r="E17" s="9" t="s">
        <v>143</v>
      </c>
      <c r="F17" s="9" t="s">
        <v>144</v>
      </c>
      <c r="G17" s="8" t="s">
        <v>58</v>
      </c>
      <c r="H17" s="8" t="s">
        <v>47</v>
      </c>
      <c r="I17" s="8" t="n">
        <v>2</v>
      </c>
      <c r="J17" s="8" t="n">
        <v>4</v>
      </c>
      <c r="K17" s="8" t="s">
        <v>86</v>
      </c>
      <c r="L17" s="8" t="s">
        <v>49</v>
      </c>
      <c r="M17" s="8" t="s">
        <v>66</v>
      </c>
      <c r="N17" s="8" t="n">
        <v>3</v>
      </c>
      <c r="O17" s="8" t="s">
        <v>145</v>
      </c>
      <c r="P17" s="10" t="s">
        <v>52</v>
      </c>
      <c r="Q17" s="9" t="s">
        <v>146</v>
      </c>
    </row>
    <row r="18" customFormat="false" ht="45.75" hidden="false" customHeight="true" outlineLevel="0" collapsed="false">
      <c r="A18" s="8" t="s">
        <v>147</v>
      </c>
      <c r="B18" s="8" t="s">
        <v>41</v>
      </c>
      <c r="C18" s="9" t="s">
        <v>119</v>
      </c>
      <c r="D18" s="9" t="s">
        <v>148</v>
      </c>
      <c r="E18" s="9" t="s">
        <v>149</v>
      </c>
      <c r="F18" s="9" t="s">
        <v>150</v>
      </c>
      <c r="G18" s="8" t="s">
        <v>58</v>
      </c>
      <c r="H18" s="8" t="s">
        <v>123</v>
      </c>
      <c r="I18" s="8" t="n">
        <v>5</v>
      </c>
      <c r="J18" s="8" t="n">
        <v>4</v>
      </c>
      <c r="K18" s="8" t="s">
        <v>86</v>
      </c>
      <c r="L18" s="8" t="s">
        <v>49</v>
      </c>
      <c r="M18" s="8" t="s">
        <v>50</v>
      </c>
      <c r="N18" s="8" t="n">
        <v>2</v>
      </c>
      <c r="O18" s="8" t="s">
        <v>151</v>
      </c>
      <c r="P18" s="10" t="s">
        <v>52</v>
      </c>
      <c r="Q18" s="9" t="s">
        <v>152</v>
      </c>
    </row>
    <row r="19" customFormat="false" ht="45.75" hidden="false" customHeight="true" outlineLevel="0" collapsed="false">
      <c r="A19" s="8" t="s">
        <v>153</v>
      </c>
      <c r="B19" s="8" t="s">
        <v>41</v>
      </c>
      <c r="C19" s="9" t="s">
        <v>119</v>
      </c>
      <c r="D19" s="9" t="s">
        <v>154</v>
      </c>
      <c r="E19" s="9" t="s">
        <v>155</v>
      </c>
      <c r="F19" s="9" t="s">
        <v>156</v>
      </c>
      <c r="G19" s="8" t="s">
        <v>157</v>
      </c>
      <c r="H19" s="8" t="s">
        <v>123</v>
      </c>
      <c r="I19" s="8" t="n">
        <v>3</v>
      </c>
      <c r="J19" s="8" t="n">
        <v>4</v>
      </c>
      <c r="K19" s="8" t="s">
        <v>48</v>
      </c>
      <c r="L19" s="8" t="s">
        <v>49</v>
      </c>
      <c r="M19" s="8" t="s">
        <v>50</v>
      </c>
      <c r="N19" s="8" t="n">
        <v>1</v>
      </c>
      <c r="O19" s="8" t="s">
        <v>51</v>
      </c>
      <c r="P19" s="10" t="s">
        <v>52</v>
      </c>
      <c r="Q19" s="9" t="s">
        <v>158</v>
      </c>
    </row>
    <row r="20" customFormat="false" ht="45.75" hidden="false" customHeight="true" outlineLevel="0" collapsed="false">
      <c r="A20" s="8" t="s">
        <v>159</v>
      </c>
      <c r="B20" s="8" t="s">
        <v>41</v>
      </c>
      <c r="C20" s="9" t="s">
        <v>160</v>
      </c>
      <c r="D20" s="9" t="s">
        <v>161</v>
      </c>
      <c r="E20" s="9" t="s">
        <v>162</v>
      </c>
      <c r="F20" s="9" t="s">
        <v>163</v>
      </c>
      <c r="G20" s="8" t="s">
        <v>58</v>
      </c>
      <c r="H20" s="8" t="s">
        <v>123</v>
      </c>
      <c r="I20" s="8" t="n">
        <v>2</v>
      </c>
      <c r="J20" s="8" t="n">
        <v>4</v>
      </c>
      <c r="K20" s="8" t="s">
        <v>48</v>
      </c>
      <c r="L20" s="8" t="s">
        <v>59</v>
      </c>
      <c r="M20" s="8" t="s">
        <v>50</v>
      </c>
      <c r="N20" s="8" t="n">
        <v>2</v>
      </c>
      <c r="O20" s="8" t="s">
        <v>164</v>
      </c>
      <c r="P20" s="10" t="s">
        <v>52</v>
      </c>
      <c r="Q20" s="9" t="s">
        <v>165</v>
      </c>
    </row>
    <row r="21" customFormat="false" ht="45.75" hidden="false" customHeight="true" outlineLevel="0" collapsed="false">
      <c r="A21" s="8" t="s">
        <v>166</v>
      </c>
      <c r="B21" s="8" t="s">
        <v>41</v>
      </c>
      <c r="C21" s="9" t="s">
        <v>160</v>
      </c>
      <c r="D21" s="9" t="s">
        <v>167</v>
      </c>
      <c r="E21" s="9" t="s">
        <v>168</v>
      </c>
      <c r="F21" s="9" t="s">
        <v>169</v>
      </c>
      <c r="G21" s="8" t="s">
        <v>79</v>
      </c>
      <c r="H21" s="8" t="s">
        <v>123</v>
      </c>
      <c r="I21" s="8" t="n">
        <v>3</v>
      </c>
      <c r="J21" s="8" t="n">
        <v>4</v>
      </c>
      <c r="K21" s="8" t="s">
        <v>98</v>
      </c>
      <c r="L21" s="8" t="s">
        <v>170</v>
      </c>
      <c r="M21" s="8" t="s">
        <v>50</v>
      </c>
      <c r="N21" s="8" t="n">
        <v>3</v>
      </c>
      <c r="O21" s="8" t="s">
        <v>92</v>
      </c>
      <c r="P21" s="10" t="s">
        <v>52</v>
      </c>
      <c r="Q21" s="9" t="s">
        <v>171</v>
      </c>
    </row>
    <row r="22" customFormat="false" ht="45.75" hidden="false" customHeight="true" outlineLevel="0" collapsed="false">
      <c r="A22" s="8" t="s">
        <v>172</v>
      </c>
      <c r="B22" s="8" t="s">
        <v>41</v>
      </c>
      <c r="C22" s="9" t="s">
        <v>160</v>
      </c>
      <c r="D22" s="9" t="s">
        <v>173</v>
      </c>
      <c r="E22" s="9" t="s">
        <v>174</v>
      </c>
      <c r="F22" s="9" t="s">
        <v>175</v>
      </c>
      <c r="G22" s="8" t="s">
        <v>79</v>
      </c>
      <c r="H22" s="8" t="s">
        <v>47</v>
      </c>
      <c r="I22" s="8" t="n">
        <v>3</v>
      </c>
      <c r="J22" s="8" t="n">
        <v>4</v>
      </c>
      <c r="K22" s="8" t="s">
        <v>86</v>
      </c>
      <c r="L22" s="8" t="s">
        <v>170</v>
      </c>
      <c r="M22" s="8" t="s">
        <v>50</v>
      </c>
      <c r="N22" s="8" t="n">
        <v>3</v>
      </c>
      <c r="O22" s="8" t="s">
        <v>92</v>
      </c>
      <c r="P22" s="10" t="s">
        <v>52</v>
      </c>
      <c r="Q22" s="9" t="s">
        <v>176</v>
      </c>
    </row>
    <row r="23" customFormat="false" ht="45.75" hidden="false" customHeight="true" outlineLevel="0" collapsed="false">
      <c r="A23" s="8" t="s">
        <v>177</v>
      </c>
      <c r="B23" s="8" t="s">
        <v>41</v>
      </c>
      <c r="C23" s="9" t="s">
        <v>178</v>
      </c>
      <c r="D23" s="9" t="s">
        <v>179</v>
      </c>
      <c r="E23" s="9" t="s">
        <v>180</v>
      </c>
      <c r="F23" s="9" t="s">
        <v>181</v>
      </c>
      <c r="G23" s="8" t="s">
        <v>79</v>
      </c>
      <c r="H23" s="8" t="s">
        <v>123</v>
      </c>
      <c r="I23" s="8" t="n">
        <v>3</v>
      </c>
      <c r="J23" s="8" t="n">
        <v>2</v>
      </c>
      <c r="K23" s="8" t="s">
        <v>48</v>
      </c>
      <c r="L23" s="8" t="s">
        <v>59</v>
      </c>
      <c r="M23" s="8" t="s">
        <v>66</v>
      </c>
      <c r="N23" s="8" t="n">
        <v>1</v>
      </c>
      <c r="O23" s="8" t="s">
        <v>92</v>
      </c>
      <c r="P23" s="10" t="s">
        <v>52</v>
      </c>
      <c r="Q23" s="9" t="s">
        <v>182</v>
      </c>
    </row>
    <row r="24" customFormat="false" ht="45.75" hidden="false" customHeight="true" outlineLevel="0" collapsed="false">
      <c r="A24" s="8" t="s">
        <v>183</v>
      </c>
      <c r="B24" s="8" t="s">
        <v>41</v>
      </c>
      <c r="C24" s="9" t="s">
        <v>178</v>
      </c>
      <c r="D24" s="9" t="s">
        <v>184</v>
      </c>
      <c r="E24" s="9" t="s">
        <v>185</v>
      </c>
      <c r="F24" s="9" t="s">
        <v>186</v>
      </c>
      <c r="G24" s="8" t="s">
        <v>58</v>
      </c>
      <c r="H24" s="8" t="s">
        <v>123</v>
      </c>
      <c r="I24" s="8" t="n">
        <v>4</v>
      </c>
      <c r="J24" s="8" t="n">
        <v>5</v>
      </c>
      <c r="K24" s="8" t="s">
        <v>48</v>
      </c>
      <c r="L24" s="8" t="s">
        <v>59</v>
      </c>
      <c r="M24" s="8" t="s">
        <v>50</v>
      </c>
      <c r="N24" s="8" t="n">
        <v>1</v>
      </c>
      <c r="O24" s="8" t="s">
        <v>187</v>
      </c>
      <c r="P24" s="10" t="s">
        <v>52</v>
      </c>
      <c r="Q24" s="9" t="s">
        <v>188</v>
      </c>
    </row>
    <row r="25" customFormat="false" ht="45.75" hidden="false" customHeight="true" outlineLevel="0" collapsed="false">
      <c r="A25" s="8" t="s">
        <v>189</v>
      </c>
      <c r="B25" s="8" t="s">
        <v>41</v>
      </c>
      <c r="C25" s="9" t="s">
        <v>178</v>
      </c>
      <c r="D25" s="9" t="s">
        <v>190</v>
      </c>
      <c r="E25" s="9" t="s">
        <v>191</v>
      </c>
      <c r="F25" s="9" t="s">
        <v>192</v>
      </c>
      <c r="G25" s="8" t="s">
        <v>79</v>
      </c>
      <c r="H25" s="8" t="s">
        <v>123</v>
      </c>
      <c r="I25" s="8" t="n">
        <v>5</v>
      </c>
      <c r="J25" s="8" t="n">
        <v>3</v>
      </c>
      <c r="K25" s="8" t="s">
        <v>48</v>
      </c>
      <c r="L25" s="8" t="s">
        <v>59</v>
      </c>
      <c r="M25" s="8" t="s">
        <v>50</v>
      </c>
      <c r="N25" s="8" t="n">
        <v>2</v>
      </c>
      <c r="O25" s="8" t="s">
        <v>193</v>
      </c>
      <c r="P25" s="10" t="s">
        <v>52</v>
      </c>
      <c r="Q25" s="9" t="s">
        <v>194</v>
      </c>
    </row>
    <row r="26" customFormat="false" ht="45.75" hidden="false" customHeight="true" outlineLevel="0" collapsed="false">
      <c r="A26" s="8" t="s">
        <v>195</v>
      </c>
      <c r="B26" s="8" t="s">
        <v>41</v>
      </c>
      <c r="C26" s="9" t="s">
        <v>178</v>
      </c>
      <c r="D26" s="9" t="s">
        <v>196</v>
      </c>
      <c r="E26" s="9" t="s">
        <v>197</v>
      </c>
      <c r="F26" s="9" t="s">
        <v>198</v>
      </c>
      <c r="G26" s="8" t="s">
        <v>79</v>
      </c>
      <c r="H26" s="8" t="s">
        <v>47</v>
      </c>
      <c r="I26" s="8" t="n">
        <v>5</v>
      </c>
      <c r="J26" s="8" t="n">
        <v>4</v>
      </c>
      <c r="K26" s="8" t="s">
        <v>48</v>
      </c>
      <c r="L26" s="8" t="s">
        <v>49</v>
      </c>
      <c r="M26" s="8" t="s">
        <v>66</v>
      </c>
      <c r="N26" s="8" t="n">
        <v>3</v>
      </c>
      <c r="O26" s="8" t="s">
        <v>193</v>
      </c>
      <c r="P26" s="10" t="s">
        <v>52</v>
      </c>
      <c r="Q26" s="9" t="s">
        <v>199</v>
      </c>
    </row>
    <row r="27" customFormat="false" ht="45.75" hidden="false" customHeight="true" outlineLevel="0" collapsed="false">
      <c r="A27" s="8" t="s">
        <v>200</v>
      </c>
      <c r="B27" s="8" t="s">
        <v>41</v>
      </c>
      <c r="C27" s="9" t="s">
        <v>201</v>
      </c>
      <c r="D27" s="9" t="s">
        <v>202</v>
      </c>
      <c r="E27" s="9" t="s">
        <v>203</v>
      </c>
      <c r="F27" s="9" t="s">
        <v>204</v>
      </c>
      <c r="G27" s="8" t="s">
        <v>157</v>
      </c>
      <c r="H27" s="8" t="s">
        <v>205</v>
      </c>
      <c r="I27" s="8" t="n">
        <v>2</v>
      </c>
      <c r="J27" s="8" t="n">
        <v>3</v>
      </c>
      <c r="K27" s="8" t="s">
        <v>48</v>
      </c>
      <c r="L27" s="8" t="s">
        <v>49</v>
      </c>
      <c r="M27" s="8" t="s">
        <v>50</v>
      </c>
      <c r="N27" s="8" t="n">
        <v>1</v>
      </c>
      <c r="O27" s="8" t="s">
        <v>206</v>
      </c>
      <c r="P27" s="10" t="s">
        <v>52</v>
      </c>
      <c r="Q27" s="9" t="s">
        <v>207</v>
      </c>
    </row>
    <row r="28" customFormat="false" ht="45.75" hidden="false" customHeight="true" outlineLevel="0" collapsed="false">
      <c r="A28" s="8" t="s">
        <v>208</v>
      </c>
      <c r="B28" s="8" t="s">
        <v>41</v>
      </c>
      <c r="C28" s="9" t="s">
        <v>201</v>
      </c>
      <c r="D28" s="9" t="s">
        <v>209</v>
      </c>
      <c r="E28" s="9" t="s">
        <v>210</v>
      </c>
      <c r="F28" s="9" t="s">
        <v>211</v>
      </c>
      <c r="G28" s="8" t="s">
        <v>157</v>
      </c>
      <c r="H28" s="8" t="s">
        <v>205</v>
      </c>
      <c r="I28" s="8" t="n">
        <v>3</v>
      </c>
      <c r="J28" s="8" t="n">
        <v>4</v>
      </c>
      <c r="K28" s="8" t="s">
        <v>48</v>
      </c>
      <c r="L28" s="8" t="s">
        <v>49</v>
      </c>
      <c r="M28" s="8" t="s">
        <v>50</v>
      </c>
      <c r="N28" s="8" t="n">
        <v>1</v>
      </c>
      <c r="O28" s="8" t="s">
        <v>206</v>
      </c>
      <c r="P28" s="10" t="s">
        <v>52</v>
      </c>
      <c r="Q28" s="9" t="s">
        <v>212</v>
      </c>
    </row>
    <row r="29" customFormat="false" ht="45.75" hidden="false" customHeight="true" outlineLevel="0" collapsed="false">
      <c r="A29" s="8" t="s">
        <v>213</v>
      </c>
      <c r="B29" s="8" t="s">
        <v>41</v>
      </c>
      <c r="C29" s="9" t="s">
        <v>201</v>
      </c>
      <c r="D29" s="9" t="s">
        <v>214</v>
      </c>
      <c r="E29" s="9" t="s">
        <v>215</v>
      </c>
      <c r="F29" s="9" t="s">
        <v>216</v>
      </c>
      <c r="G29" s="8" t="s">
        <v>46</v>
      </c>
      <c r="H29" s="8" t="s">
        <v>205</v>
      </c>
      <c r="I29" s="8" t="n">
        <v>3</v>
      </c>
      <c r="J29" s="8" t="n">
        <v>3</v>
      </c>
      <c r="K29" s="8" t="s">
        <v>98</v>
      </c>
      <c r="L29" s="8" t="s">
        <v>49</v>
      </c>
      <c r="M29" s="8" t="s">
        <v>66</v>
      </c>
      <c r="N29" s="8" t="n">
        <v>1</v>
      </c>
      <c r="O29" s="8" t="s">
        <v>206</v>
      </c>
      <c r="P29" s="10" t="s">
        <v>52</v>
      </c>
      <c r="Q29" s="9" t="s">
        <v>217</v>
      </c>
    </row>
    <row r="30" customFormat="false" ht="45.75" hidden="false" customHeight="true" outlineLevel="0" collapsed="false">
      <c r="A30" s="8" t="s">
        <v>218</v>
      </c>
      <c r="B30" s="8" t="s">
        <v>41</v>
      </c>
      <c r="C30" s="9" t="s">
        <v>201</v>
      </c>
      <c r="D30" s="9" t="s">
        <v>219</v>
      </c>
      <c r="E30" s="9" t="s">
        <v>220</v>
      </c>
      <c r="F30" s="9" t="s">
        <v>221</v>
      </c>
      <c r="G30" s="8" t="s">
        <v>79</v>
      </c>
      <c r="H30" s="8" t="s">
        <v>123</v>
      </c>
      <c r="I30" s="8" t="n">
        <v>2</v>
      </c>
      <c r="J30" s="8" t="n">
        <v>3</v>
      </c>
      <c r="K30" s="8" t="s">
        <v>48</v>
      </c>
      <c r="L30" s="8" t="s">
        <v>59</v>
      </c>
      <c r="M30" s="8" t="s">
        <v>66</v>
      </c>
      <c r="N30" s="8" t="n">
        <v>1</v>
      </c>
      <c r="O30" s="8" t="s">
        <v>92</v>
      </c>
      <c r="P30" s="10" t="s">
        <v>52</v>
      </c>
      <c r="Q30" s="9" t="s">
        <v>222</v>
      </c>
    </row>
    <row r="31" customFormat="false" ht="45.75" hidden="false" customHeight="true" outlineLevel="0" collapsed="false">
      <c r="A31" s="8" t="s">
        <v>223</v>
      </c>
      <c r="B31" s="8" t="s">
        <v>41</v>
      </c>
      <c r="C31" s="9" t="s">
        <v>201</v>
      </c>
      <c r="D31" s="9" t="s">
        <v>224</v>
      </c>
      <c r="E31" s="9" t="s">
        <v>225</v>
      </c>
      <c r="F31" s="9" t="s">
        <v>226</v>
      </c>
      <c r="G31" s="8" t="s">
        <v>46</v>
      </c>
      <c r="H31" s="8" t="s">
        <v>123</v>
      </c>
      <c r="I31" s="8" t="n">
        <v>3</v>
      </c>
      <c r="J31" s="8" t="n">
        <v>3</v>
      </c>
      <c r="K31" s="8" t="s">
        <v>86</v>
      </c>
      <c r="L31" s="8" t="s">
        <v>170</v>
      </c>
      <c r="M31" s="8" t="s">
        <v>50</v>
      </c>
      <c r="N31" s="8" t="n">
        <v>2</v>
      </c>
      <c r="O31" s="8" t="s">
        <v>164</v>
      </c>
      <c r="P31" s="10" t="s">
        <v>52</v>
      </c>
      <c r="Q31" s="9" t="s">
        <v>227</v>
      </c>
    </row>
    <row r="32" customFormat="false" ht="45.75" hidden="false" customHeight="true" outlineLevel="0" collapsed="false">
      <c r="A32" s="8" t="s">
        <v>228</v>
      </c>
      <c r="B32" s="8" t="s">
        <v>41</v>
      </c>
      <c r="C32" s="9" t="s">
        <v>201</v>
      </c>
      <c r="D32" s="9" t="s">
        <v>229</v>
      </c>
      <c r="E32" s="9" t="s">
        <v>230</v>
      </c>
      <c r="F32" s="9" t="s">
        <v>231</v>
      </c>
      <c r="G32" s="8" t="s">
        <v>58</v>
      </c>
      <c r="H32" s="8" t="s">
        <v>205</v>
      </c>
      <c r="I32" s="8" t="n">
        <v>2</v>
      </c>
      <c r="J32" s="8" t="n">
        <v>4</v>
      </c>
      <c r="K32" s="8" t="s">
        <v>48</v>
      </c>
      <c r="L32" s="8" t="s">
        <v>59</v>
      </c>
      <c r="M32" s="8" t="s">
        <v>50</v>
      </c>
      <c r="N32" s="8" t="n">
        <v>1</v>
      </c>
      <c r="O32" s="8" t="s">
        <v>232</v>
      </c>
      <c r="P32" s="10" t="s">
        <v>52</v>
      </c>
      <c r="Q32" s="9" t="s">
        <v>233</v>
      </c>
    </row>
    <row r="33" customFormat="false" ht="45.75" hidden="false" customHeight="true" outlineLevel="0" collapsed="false">
      <c r="A33" s="8" t="s">
        <v>234</v>
      </c>
      <c r="B33" s="8" t="s">
        <v>41</v>
      </c>
      <c r="C33" s="9" t="s">
        <v>235</v>
      </c>
      <c r="D33" s="9" t="s">
        <v>236</v>
      </c>
      <c r="E33" s="9" t="s">
        <v>237</v>
      </c>
      <c r="F33" s="9" t="s">
        <v>238</v>
      </c>
      <c r="G33" s="8" t="s">
        <v>46</v>
      </c>
      <c r="H33" s="8" t="s">
        <v>47</v>
      </c>
      <c r="I33" s="8" t="n">
        <v>3</v>
      </c>
      <c r="J33" s="8" t="n">
        <v>3</v>
      </c>
      <c r="K33" s="8" t="s">
        <v>48</v>
      </c>
      <c r="L33" s="8" t="s">
        <v>49</v>
      </c>
      <c r="M33" s="8" t="s">
        <v>50</v>
      </c>
      <c r="N33" s="8" t="n">
        <v>1</v>
      </c>
      <c r="O33" s="8" t="s">
        <v>232</v>
      </c>
      <c r="P33" s="10" t="s">
        <v>52</v>
      </c>
      <c r="Q33" s="9" t="s">
        <v>239</v>
      </c>
    </row>
    <row r="34" customFormat="false" ht="45.75" hidden="false" customHeight="true" outlineLevel="0" collapsed="false">
      <c r="A34" s="8" t="s">
        <v>240</v>
      </c>
      <c r="B34" s="8" t="s">
        <v>41</v>
      </c>
      <c r="C34" s="9" t="s">
        <v>235</v>
      </c>
      <c r="D34" s="9" t="s">
        <v>241</v>
      </c>
      <c r="E34" s="9" t="s">
        <v>242</v>
      </c>
      <c r="F34" s="9" t="s">
        <v>243</v>
      </c>
      <c r="G34" s="8" t="s">
        <v>58</v>
      </c>
      <c r="H34" s="8" t="s">
        <v>47</v>
      </c>
      <c r="I34" s="8" t="n">
        <v>4</v>
      </c>
      <c r="J34" s="8" t="n">
        <v>4</v>
      </c>
      <c r="K34" s="8" t="s">
        <v>48</v>
      </c>
      <c r="L34" s="8" t="s">
        <v>59</v>
      </c>
      <c r="M34" s="8" t="s">
        <v>50</v>
      </c>
      <c r="N34" s="8" t="n">
        <v>2</v>
      </c>
      <c r="O34" s="8" t="s">
        <v>51</v>
      </c>
      <c r="P34" s="10" t="s">
        <v>52</v>
      </c>
      <c r="Q34" s="9" t="s">
        <v>244</v>
      </c>
    </row>
    <row r="35" customFormat="false" ht="45.75" hidden="false" customHeight="true" outlineLevel="0" collapsed="false">
      <c r="A35" s="8" t="s">
        <v>245</v>
      </c>
      <c r="B35" s="8" t="s">
        <v>41</v>
      </c>
      <c r="C35" s="9" t="s">
        <v>235</v>
      </c>
      <c r="D35" s="9" t="s">
        <v>246</v>
      </c>
      <c r="E35" s="9" t="s">
        <v>247</v>
      </c>
      <c r="F35" s="9" t="s">
        <v>248</v>
      </c>
      <c r="G35" s="8" t="s">
        <v>58</v>
      </c>
      <c r="H35" s="8" t="s">
        <v>47</v>
      </c>
      <c r="I35" s="8" t="n">
        <v>2</v>
      </c>
      <c r="J35" s="8" t="n">
        <v>3</v>
      </c>
      <c r="K35" s="8" t="s">
        <v>249</v>
      </c>
      <c r="L35" s="8" t="s">
        <v>49</v>
      </c>
      <c r="M35" s="8" t="s">
        <v>50</v>
      </c>
      <c r="N35" s="8" t="n">
        <v>2</v>
      </c>
      <c r="O35" s="8" t="s">
        <v>250</v>
      </c>
      <c r="P35" s="10" t="s">
        <v>52</v>
      </c>
      <c r="Q35" s="9" t="s">
        <v>251</v>
      </c>
    </row>
    <row r="36" customFormat="false" ht="45.75" hidden="false" customHeight="true" outlineLevel="0" collapsed="false">
      <c r="A36" s="8" t="s">
        <v>252</v>
      </c>
      <c r="B36" s="8" t="s">
        <v>41</v>
      </c>
      <c r="C36" s="9" t="s">
        <v>235</v>
      </c>
      <c r="D36" s="9" t="s">
        <v>253</v>
      </c>
      <c r="E36" s="9" t="s">
        <v>254</v>
      </c>
      <c r="F36" s="9" t="s">
        <v>255</v>
      </c>
      <c r="G36" s="8" t="s">
        <v>79</v>
      </c>
      <c r="H36" s="8" t="s">
        <v>47</v>
      </c>
      <c r="I36" s="8" t="n">
        <v>5</v>
      </c>
      <c r="J36" s="8" t="n">
        <v>5</v>
      </c>
      <c r="K36" s="8" t="s">
        <v>48</v>
      </c>
      <c r="L36" s="8" t="s">
        <v>170</v>
      </c>
      <c r="M36" s="8" t="s">
        <v>50</v>
      </c>
      <c r="N36" s="8" t="n">
        <v>3</v>
      </c>
      <c r="O36" s="8" t="s">
        <v>232</v>
      </c>
      <c r="P36" s="10" t="s">
        <v>52</v>
      </c>
      <c r="Q36" s="9" t="s">
        <v>256</v>
      </c>
    </row>
    <row r="37" customFormat="false" ht="45.75" hidden="false" customHeight="true" outlineLevel="0" collapsed="false">
      <c r="A37" s="8" t="s">
        <v>257</v>
      </c>
      <c r="B37" s="8" t="s">
        <v>41</v>
      </c>
      <c r="C37" s="9" t="s">
        <v>235</v>
      </c>
      <c r="D37" s="9" t="s">
        <v>258</v>
      </c>
      <c r="E37" s="9" t="s">
        <v>259</v>
      </c>
      <c r="F37" s="9" t="s">
        <v>260</v>
      </c>
      <c r="G37" s="8" t="s">
        <v>58</v>
      </c>
      <c r="H37" s="8" t="s">
        <v>47</v>
      </c>
      <c r="I37" s="8" t="n">
        <v>2</v>
      </c>
      <c r="J37" s="8" t="n">
        <v>3</v>
      </c>
      <c r="K37" s="8" t="s">
        <v>48</v>
      </c>
      <c r="L37" s="8" t="s">
        <v>59</v>
      </c>
      <c r="M37" s="8" t="s">
        <v>50</v>
      </c>
      <c r="N37" s="8" t="n">
        <v>2</v>
      </c>
      <c r="O37" s="8" t="s">
        <v>261</v>
      </c>
      <c r="P37" s="10" t="s">
        <v>52</v>
      </c>
      <c r="Q37" s="9" t="s">
        <v>262</v>
      </c>
    </row>
    <row r="38" customFormat="false" ht="45.75" hidden="false" customHeight="true" outlineLevel="0" collapsed="false">
      <c r="A38" s="8" t="s">
        <v>263</v>
      </c>
      <c r="B38" s="8" t="s">
        <v>41</v>
      </c>
      <c r="C38" s="9" t="s">
        <v>264</v>
      </c>
      <c r="D38" s="9" t="s">
        <v>265</v>
      </c>
      <c r="E38" s="9" t="s">
        <v>266</v>
      </c>
      <c r="F38" s="9" t="s">
        <v>267</v>
      </c>
      <c r="G38" s="8" t="s">
        <v>79</v>
      </c>
      <c r="H38" s="8" t="s">
        <v>47</v>
      </c>
      <c r="I38" s="8" t="n">
        <v>4</v>
      </c>
      <c r="J38" s="8" t="n">
        <v>4</v>
      </c>
      <c r="K38" s="8" t="s">
        <v>86</v>
      </c>
      <c r="L38" s="8" t="s">
        <v>59</v>
      </c>
      <c r="M38" s="8" t="s">
        <v>50</v>
      </c>
      <c r="N38" s="8" t="n">
        <v>1</v>
      </c>
      <c r="O38" s="8" t="s">
        <v>268</v>
      </c>
      <c r="P38" s="10" t="s">
        <v>52</v>
      </c>
      <c r="Q38" s="9" t="s">
        <v>269</v>
      </c>
    </row>
    <row r="39" customFormat="false" ht="45.75" hidden="false" customHeight="true" outlineLevel="0" collapsed="false">
      <c r="A39" s="8" t="s">
        <v>270</v>
      </c>
      <c r="B39" s="8" t="s">
        <v>41</v>
      </c>
      <c r="C39" s="9" t="s">
        <v>264</v>
      </c>
      <c r="D39" s="9" t="s">
        <v>271</v>
      </c>
      <c r="E39" s="9" t="s">
        <v>272</v>
      </c>
      <c r="F39" s="9" t="s">
        <v>273</v>
      </c>
      <c r="G39" s="8" t="s">
        <v>79</v>
      </c>
      <c r="H39" s="8" t="s">
        <v>47</v>
      </c>
      <c r="I39" s="8" t="n">
        <v>4</v>
      </c>
      <c r="J39" s="8" t="n">
        <v>5</v>
      </c>
      <c r="K39" s="8" t="s">
        <v>86</v>
      </c>
      <c r="L39" s="8" t="s">
        <v>170</v>
      </c>
      <c r="M39" s="8" t="s">
        <v>50</v>
      </c>
      <c r="N39" s="8" t="n">
        <v>2</v>
      </c>
      <c r="O39" s="8" t="s">
        <v>92</v>
      </c>
      <c r="P39" s="10" t="s">
        <v>52</v>
      </c>
      <c r="Q39" s="9" t="s">
        <v>274</v>
      </c>
    </row>
    <row r="40" customFormat="false" ht="45.75" hidden="false" customHeight="true" outlineLevel="0" collapsed="false">
      <c r="A40" s="8" t="s">
        <v>275</v>
      </c>
      <c r="B40" s="8" t="s">
        <v>276</v>
      </c>
      <c r="C40" s="9" t="s">
        <v>276</v>
      </c>
      <c r="D40" s="9" t="s">
        <v>277</v>
      </c>
      <c r="E40" s="9" t="s">
        <v>278</v>
      </c>
      <c r="F40" s="9" t="s">
        <v>279</v>
      </c>
      <c r="G40" s="8" t="s">
        <v>157</v>
      </c>
      <c r="H40" s="8" t="s">
        <v>123</v>
      </c>
      <c r="I40" s="8" t="n">
        <v>1</v>
      </c>
      <c r="J40" s="8" t="n">
        <v>1</v>
      </c>
      <c r="K40" s="8" t="s">
        <v>86</v>
      </c>
      <c r="L40" s="8" t="s">
        <v>49</v>
      </c>
      <c r="M40" s="8" t="s">
        <v>50</v>
      </c>
      <c r="N40" s="8" t="n">
        <v>1</v>
      </c>
      <c r="O40" s="8" t="s">
        <v>106</v>
      </c>
      <c r="P40" s="10" t="s">
        <v>52</v>
      </c>
      <c r="Q40" s="9" t="s">
        <v>280</v>
      </c>
    </row>
    <row r="41" customFormat="false" ht="45.75" hidden="false" customHeight="true" outlineLevel="0" collapsed="false">
      <c r="A41" s="8" t="s">
        <v>281</v>
      </c>
      <c r="B41" s="8" t="s">
        <v>276</v>
      </c>
      <c r="C41" s="9" t="s">
        <v>276</v>
      </c>
      <c r="D41" s="9" t="s">
        <v>282</v>
      </c>
      <c r="E41" s="9" t="s">
        <v>283</v>
      </c>
      <c r="F41" s="9" t="s">
        <v>284</v>
      </c>
      <c r="G41" s="8" t="s">
        <v>79</v>
      </c>
      <c r="H41" s="8" t="s">
        <v>123</v>
      </c>
      <c r="I41" s="8" t="n">
        <v>4</v>
      </c>
      <c r="J41" s="8" t="n">
        <v>1</v>
      </c>
      <c r="K41" s="8" t="s">
        <v>48</v>
      </c>
      <c r="L41" s="8" t="s">
        <v>59</v>
      </c>
      <c r="M41" s="8" t="s">
        <v>50</v>
      </c>
      <c r="N41" s="8" t="n">
        <v>2</v>
      </c>
      <c r="O41" s="8" t="s">
        <v>183</v>
      </c>
      <c r="P41" s="10" t="s">
        <v>52</v>
      </c>
      <c r="Q41" s="9" t="s">
        <v>285</v>
      </c>
    </row>
    <row r="42" customFormat="false" ht="45.75" hidden="false" customHeight="true" outlineLevel="0" collapsed="false">
      <c r="A42" s="8" t="s">
        <v>286</v>
      </c>
      <c r="B42" s="8" t="s">
        <v>276</v>
      </c>
      <c r="C42" s="9" t="s">
        <v>276</v>
      </c>
      <c r="D42" s="9" t="s">
        <v>287</v>
      </c>
      <c r="E42" s="9" t="s">
        <v>288</v>
      </c>
      <c r="F42" s="9" t="s">
        <v>289</v>
      </c>
      <c r="G42" s="8" t="s">
        <v>79</v>
      </c>
      <c r="H42" s="8" t="s">
        <v>123</v>
      </c>
      <c r="I42" s="8" t="n">
        <v>4</v>
      </c>
      <c r="J42" s="8" t="n">
        <v>1</v>
      </c>
      <c r="K42" s="8" t="s">
        <v>48</v>
      </c>
      <c r="L42" s="8" t="s">
        <v>59</v>
      </c>
      <c r="M42" s="8" t="s">
        <v>50</v>
      </c>
      <c r="N42" s="8" t="n">
        <v>2</v>
      </c>
      <c r="O42" s="8" t="s">
        <v>69</v>
      </c>
      <c r="P42" s="10" t="s">
        <v>52</v>
      </c>
      <c r="Q42" s="9" t="s">
        <v>290</v>
      </c>
    </row>
    <row r="43" customFormat="false" ht="45.75" hidden="false" customHeight="true" outlineLevel="0" collapsed="false">
      <c r="A43" s="8" t="s">
        <v>291</v>
      </c>
      <c r="B43" s="8" t="s">
        <v>276</v>
      </c>
      <c r="C43" s="9" t="s">
        <v>276</v>
      </c>
      <c r="D43" s="9" t="s">
        <v>292</v>
      </c>
      <c r="E43" s="9" t="s">
        <v>293</v>
      </c>
      <c r="F43" s="9" t="s">
        <v>294</v>
      </c>
      <c r="G43" s="8" t="s">
        <v>79</v>
      </c>
      <c r="H43" s="8" t="s">
        <v>123</v>
      </c>
      <c r="I43" s="8" t="n">
        <v>5</v>
      </c>
      <c r="J43" s="8" t="n">
        <v>1</v>
      </c>
      <c r="K43" s="8" t="s">
        <v>48</v>
      </c>
      <c r="L43" s="8" t="s">
        <v>59</v>
      </c>
      <c r="M43" s="8" t="s">
        <v>50</v>
      </c>
      <c r="N43" s="8" t="n">
        <v>2</v>
      </c>
      <c r="O43" s="8" t="s">
        <v>131</v>
      </c>
      <c r="P43" s="10" t="s">
        <v>52</v>
      </c>
      <c r="Q43" s="9" t="s">
        <v>295</v>
      </c>
    </row>
    <row r="44" customFormat="false" ht="45.75" hidden="false" customHeight="true" outlineLevel="0" collapsed="false">
      <c r="A44" s="8" t="s">
        <v>296</v>
      </c>
      <c r="B44" s="8" t="s">
        <v>276</v>
      </c>
      <c r="C44" s="9" t="s">
        <v>276</v>
      </c>
      <c r="D44" s="9" t="s">
        <v>297</v>
      </c>
      <c r="E44" s="9" t="s">
        <v>298</v>
      </c>
      <c r="F44" s="9" t="s">
        <v>299</v>
      </c>
      <c r="G44" s="8" t="s">
        <v>157</v>
      </c>
      <c r="H44" s="8" t="s">
        <v>205</v>
      </c>
      <c r="I44" s="8" t="n">
        <v>1</v>
      </c>
      <c r="J44" s="8" t="n">
        <v>1</v>
      </c>
      <c r="K44" s="8" t="s">
        <v>86</v>
      </c>
      <c r="L44" s="8" t="s">
        <v>49</v>
      </c>
      <c r="M44" s="8" t="s">
        <v>50</v>
      </c>
      <c r="N44" s="8" t="n">
        <v>1</v>
      </c>
      <c r="O44" s="8" t="s">
        <v>100</v>
      </c>
      <c r="P44" s="10" t="s">
        <v>52</v>
      </c>
      <c r="Q44" s="9" t="s">
        <v>300</v>
      </c>
    </row>
    <row r="45" customFormat="false" ht="45.75" hidden="false" customHeight="true" outlineLevel="0" collapsed="false">
      <c r="A45" s="8" t="s">
        <v>301</v>
      </c>
      <c r="B45" s="8" t="s">
        <v>276</v>
      </c>
      <c r="C45" s="9" t="s">
        <v>276</v>
      </c>
      <c r="D45" s="9" t="s">
        <v>302</v>
      </c>
      <c r="E45" s="9" t="s">
        <v>303</v>
      </c>
      <c r="F45" s="9" t="s">
        <v>304</v>
      </c>
      <c r="G45" s="8" t="s">
        <v>79</v>
      </c>
      <c r="H45" s="8" t="s">
        <v>123</v>
      </c>
      <c r="I45" s="8" t="n">
        <v>5</v>
      </c>
      <c r="J45" s="8" t="n">
        <v>1</v>
      </c>
      <c r="K45" s="8" t="s">
        <v>48</v>
      </c>
      <c r="L45" s="8" t="s">
        <v>59</v>
      </c>
      <c r="M45" s="8" t="s">
        <v>50</v>
      </c>
      <c r="N45" s="8" t="n">
        <v>2</v>
      </c>
      <c r="O45" s="8" t="s">
        <v>189</v>
      </c>
      <c r="P45" s="10" t="s">
        <v>52</v>
      </c>
      <c r="Q45" s="9" t="s">
        <v>305</v>
      </c>
    </row>
    <row r="46" customFormat="false" ht="45.75" hidden="false" customHeight="true" outlineLevel="0" collapsed="false">
      <c r="A46" s="8" t="s">
        <v>306</v>
      </c>
      <c r="B46" s="8" t="s">
        <v>307</v>
      </c>
      <c r="C46" s="9" t="s">
        <v>308</v>
      </c>
      <c r="D46" s="9" t="s">
        <v>309</v>
      </c>
      <c r="E46" s="9" t="s">
        <v>310</v>
      </c>
      <c r="F46" s="9" t="s">
        <v>311</v>
      </c>
      <c r="G46" s="8" t="s">
        <v>157</v>
      </c>
      <c r="H46" s="8" t="s">
        <v>205</v>
      </c>
      <c r="I46" s="8" t="n">
        <v>2</v>
      </c>
      <c r="J46" s="8" t="n">
        <v>4</v>
      </c>
      <c r="K46" s="8" t="s">
        <v>48</v>
      </c>
      <c r="L46" s="8" t="s">
        <v>49</v>
      </c>
      <c r="M46" s="8" t="s">
        <v>50</v>
      </c>
      <c r="N46" s="8" t="n">
        <v>1</v>
      </c>
      <c r="O46" s="8" t="s">
        <v>228</v>
      </c>
      <c r="P46" s="10" t="s">
        <v>52</v>
      </c>
      <c r="Q46" s="9" t="s">
        <v>312</v>
      </c>
    </row>
    <row r="47" customFormat="false" ht="45.75" hidden="false" customHeight="true" outlineLevel="0" collapsed="false">
      <c r="A47" s="8" t="s">
        <v>151</v>
      </c>
      <c r="B47" s="8" t="s">
        <v>307</v>
      </c>
      <c r="C47" s="9" t="s">
        <v>308</v>
      </c>
      <c r="D47" s="9" t="s">
        <v>313</v>
      </c>
      <c r="E47" s="9" t="s">
        <v>314</v>
      </c>
      <c r="F47" s="9" t="s">
        <v>315</v>
      </c>
      <c r="G47" s="8" t="s">
        <v>157</v>
      </c>
      <c r="H47" s="8" t="s">
        <v>205</v>
      </c>
      <c r="I47" s="8" t="n">
        <v>1</v>
      </c>
      <c r="J47" s="8" t="n">
        <v>4</v>
      </c>
      <c r="K47" s="8" t="s">
        <v>48</v>
      </c>
      <c r="L47" s="8" t="s">
        <v>49</v>
      </c>
      <c r="M47" s="8" t="s">
        <v>50</v>
      </c>
      <c r="N47" s="8" t="n">
        <v>1</v>
      </c>
      <c r="O47" s="8" t="s">
        <v>62</v>
      </c>
      <c r="P47" s="10" t="s">
        <v>52</v>
      </c>
      <c r="Q47" s="9" t="s">
        <v>316</v>
      </c>
    </row>
    <row r="48" customFormat="false" ht="45.75" hidden="false" customHeight="true" outlineLevel="0" collapsed="false">
      <c r="A48" s="8" t="s">
        <v>317</v>
      </c>
      <c r="B48" s="8" t="s">
        <v>307</v>
      </c>
      <c r="C48" s="9" t="s">
        <v>308</v>
      </c>
      <c r="D48" s="9" t="s">
        <v>318</v>
      </c>
      <c r="E48" s="9" t="s">
        <v>319</v>
      </c>
      <c r="F48" s="9" t="s">
        <v>320</v>
      </c>
      <c r="G48" s="8" t="s">
        <v>157</v>
      </c>
      <c r="H48" s="8" t="s">
        <v>205</v>
      </c>
      <c r="I48" s="8" t="n">
        <v>2</v>
      </c>
      <c r="J48" s="8" t="n">
        <v>4</v>
      </c>
      <c r="K48" s="8" t="s">
        <v>86</v>
      </c>
      <c r="L48" s="8" t="s">
        <v>49</v>
      </c>
      <c r="M48" s="8" t="s">
        <v>50</v>
      </c>
      <c r="N48" s="8" t="n">
        <v>1</v>
      </c>
      <c r="O48" s="8" t="s">
        <v>177</v>
      </c>
      <c r="P48" s="10" t="s">
        <v>52</v>
      </c>
      <c r="Q48" s="9" t="s">
        <v>321</v>
      </c>
    </row>
    <row r="49" customFormat="false" ht="45.75" hidden="false" customHeight="true" outlineLevel="0" collapsed="false">
      <c r="A49" s="8" t="s">
        <v>322</v>
      </c>
      <c r="B49" s="8" t="s">
        <v>307</v>
      </c>
      <c r="C49" s="9" t="s">
        <v>308</v>
      </c>
      <c r="D49" s="9" t="s">
        <v>323</v>
      </c>
      <c r="E49" s="9" t="s">
        <v>324</v>
      </c>
      <c r="F49" s="9" t="s">
        <v>325</v>
      </c>
      <c r="G49" s="8" t="s">
        <v>46</v>
      </c>
      <c r="H49" s="8" t="s">
        <v>205</v>
      </c>
      <c r="I49" s="8" t="n">
        <v>3</v>
      </c>
      <c r="J49" s="8" t="n">
        <v>5</v>
      </c>
      <c r="K49" s="8" t="s">
        <v>48</v>
      </c>
      <c r="L49" s="8" t="s">
        <v>59</v>
      </c>
      <c r="M49" s="8" t="s">
        <v>50</v>
      </c>
      <c r="N49" s="8" t="n">
        <v>1</v>
      </c>
      <c r="O49" s="8" t="s">
        <v>106</v>
      </c>
      <c r="P49" s="10" t="s">
        <v>52</v>
      </c>
      <c r="Q49" s="9" t="s">
        <v>326</v>
      </c>
    </row>
    <row r="50" customFormat="false" ht="45.75" hidden="false" customHeight="true" outlineLevel="0" collapsed="false">
      <c r="A50" s="8" t="s">
        <v>268</v>
      </c>
      <c r="B50" s="8" t="s">
        <v>307</v>
      </c>
      <c r="C50" s="9" t="s">
        <v>308</v>
      </c>
      <c r="D50" s="9" t="s">
        <v>327</v>
      </c>
      <c r="E50" s="9" t="s">
        <v>328</v>
      </c>
      <c r="F50" s="9" t="s">
        <v>329</v>
      </c>
      <c r="G50" s="8" t="s">
        <v>157</v>
      </c>
      <c r="H50" s="8" t="s">
        <v>205</v>
      </c>
      <c r="I50" s="8" t="n">
        <v>2</v>
      </c>
      <c r="J50" s="8" t="n">
        <v>5</v>
      </c>
      <c r="K50" s="8" t="s">
        <v>86</v>
      </c>
      <c r="L50" s="8" t="s">
        <v>49</v>
      </c>
      <c r="M50" s="8" t="s">
        <v>50</v>
      </c>
      <c r="N50" s="8" t="n">
        <v>1</v>
      </c>
      <c r="O50" s="8" t="s">
        <v>257</v>
      </c>
      <c r="P50" s="10" t="s">
        <v>52</v>
      </c>
      <c r="Q50" s="9" t="s">
        <v>330</v>
      </c>
    </row>
    <row r="51" customFormat="false" ht="45.75" hidden="false" customHeight="true" outlineLevel="0" collapsed="false">
      <c r="A51" s="8" t="s">
        <v>331</v>
      </c>
      <c r="B51" s="8" t="s">
        <v>307</v>
      </c>
      <c r="C51" s="9" t="s">
        <v>308</v>
      </c>
      <c r="D51" s="9" t="s">
        <v>332</v>
      </c>
      <c r="E51" s="9" t="s">
        <v>333</v>
      </c>
      <c r="F51" s="9" t="s">
        <v>334</v>
      </c>
      <c r="G51" s="8" t="s">
        <v>157</v>
      </c>
      <c r="H51" s="8" t="s">
        <v>205</v>
      </c>
      <c r="I51" s="8" t="n">
        <v>2</v>
      </c>
      <c r="J51" s="8" t="n">
        <v>5</v>
      </c>
      <c r="K51" s="8" t="s">
        <v>48</v>
      </c>
      <c r="L51" s="8" t="s">
        <v>49</v>
      </c>
      <c r="M51" s="8" t="s">
        <v>50</v>
      </c>
      <c r="N51" s="8" t="n">
        <v>1</v>
      </c>
      <c r="O51" s="8" t="s">
        <v>153</v>
      </c>
      <c r="P51" s="10" t="s">
        <v>52</v>
      </c>
      <c r="Q51" s="9" t="s">
        <v>335</v>
      </c>
    </row>
    <row r="52" customFormat="false" ht="45.75" hidden="false" customHeight="true" outlineLevel="0" collapsed="false">
      <c r="A52" s="8" t="s">
        <v>336</v>
      </c>
      <c r="B52" s="8" t="s">
        <v>307</v>
      </c>
      <c r="C52" s="9" t="s">
        <v>308</v>
      </c>
      <c r="D52" s="9" t="s">
        <v>337</v>
      </c>
      <c r="E52" s="9" t="s">
        <v>338</v>
      </c>
      <c r="F52" s="9" t="s">
        <v>339</v>
      </c>
      <c r="G52" s="8" t="s">
        <v>46</v>
      </c>
      <c r="H52" s="8" t="s">
        <v>205</v>
      </c>
      <c r="I52" s="8" t="n">
        <v>2</v>
      </c>
      <c r="J52" s="8" t="n">
        <v>4</v>
      </c>
      <c r="K52" s="8" t="s">
        <v>48</v>
      </c>
      <c r="L52" s="8" t="s">
        <v>59</v>
      </c>
      <c r="M52" s="8" t="s">
        <v>50</v>
      </c>
      <c r="N52" s="8" t="n">
        <v>1</v>
      </c>
      <c r="O52" s="8" t="s">
        <v>228</v>
      </c>
      <c r="P52" s="10" t="s">
        <v>52</v>
      </c>
      <c r="Q52" s="9" t="s">
        <v>340</v>
      </c>
    </row>
    <row r="53" customFormat="false" ht="45.75" hidden="false" customHeight="true" outlineLevel="0" collapsed="false">
      <c r="A53" s="8" t="s">
        <v>341</v>
      </c>
      <c r="B53" s="8" t="s">
        <v>307</v>
      </c>
      <c r="C53" s="9" t="s">
        <v>308</v>
      </c>
      <c r="D53" s="9" t="s">
        <v>342</v>
      </c>
      <c r="E53" s="9" t="s">
        <v>343</v>
      </c>
      <c r="F53" s="9" t="s">
        <v>344</v>
      </c>
      <c r="G53" s="8" t="s">
        <v>46</v>
      </c>
      <c r="H53" s="8" t="s">
        <v>205</v>
      </c>
      <c r="I53" s="8" t="n">
        <v>2</v>
      </c>
      <c r="J53" s="8" t="n">
        <v>4</v>
      </c>
      <c r="K53" s="8" t="s">
        <v>48</v>
      </c>
      <c r="L53" s="8" t="s">
        <v>59</v>
      </c>
      <c r="M53" s="8" t="s">
        <v>66</v>
      </c>
      <c r="N53" s="8" t="n">
        <v>2</v>
      </c>
      <c r="O53" s="8" t="s">
        <v>208</v>
      </c>
      <c r="P53" s="10" t="s">
        <v>52</v>
      </c>
      <c r="Q53" s="9" t="s">
        <v>345</v>
      </c>
    </row>
    <row r="54" customFormat="false" ht="45.75" hidden="false" customHeight="true" outlineLevel="0" collapsed="false">
      <c r="A54" s="8" t="s">
        <v>346</v>
      </c>
      <c r="B54" s="8" t="s">
        <v>307</v>
      </c>
      <c r="C54" s="9" t="s">
        <v>347</v>
      </c>
      <c r="D54" s="9" t="s">
        <v>348</v>
      </c>
      <c r="E54" s="9" t="s">
        <v>349</v>
      </c>
      <c r="F54" s="9" t="s">
        <v>350</v>
      </c>
      <c r="G54" s="8" t="s">
        <v>46</v>
      </c>
      <c r="H54" s="8" t="s">
        <v>123</v>
      </c>
      <c r="I54" s="8" t="n">
        <v>3</v>
      </c>
      <c r="J54" s="8" t="n">
        <v>4</v>
      </c>
      <c r="K54" s="8" t="s">
        <v>48</v>
      </c>
      <c r="L54" s="8" t="s">
        <v>49</v>
      </c>
      <c r="M54" s="8" t="s">
        <v>50</v>
      </c>
      <c r="N54" s="8" t="n">
        <v>1</v>
      </c>
      <c r="O54" s="8" t="s">
        <v>223</v>
      </c>
      <c r="P54" s="10" t="s">
        <v>52</v>
      </c>
      <c r="Q54" s="9" t="s">
        <v>351</v>
      </c>
    </row>
    <row r="55" customFormat="false" ht="45.75" hidden="false" customHeight="true" outlineLevel="0" collapsed="false">
      <c r="A55" s="8" t="s">
        <v>352</v>
      </c>
      <c r="B55" s="8" t="s">
        <v>307</v>
      </c>
      <c r="C55" s="9" t="s">
        <v>347</v>
      </c>
      <c r="D55" s="9" t="s">
        <v>353</v>
      </c>
      <c r="E55" s="9" t="s">
        <v>354</v>
      </c>
      <c r="F55" s="9" t="s">
        <v>355</v>
      </c>
      <c r="G55" s="8" t="s">
        <v>58</v>
      </c>
      <c r="H55" s="8" t="s">
        <v>123</v>
      </c>
      <c r="I55" s="8" t="n">
        <v>4</v>
      </c>
      <c r="J55" s="8" t="n">
        <v>5</v>
      </c>
      <c r="K55" s="8" t="s">
        <v>48</v>
      </c>
      <c r="L55" s="8" t="s">
        <v>59</v>
      </c>
      <c r="M55" s="8" t="s">
        <v>50</v>
      </c>
      <c r="N55" s="8" t="n">
        <v>3</v>
      </c>
      <c r="O55" s="8" t="s">
        <v>257</v>
      </c>
      <c r="P55" s="10" t="s">
        <v>52</v>
      </c>
      <c r="Q55" s="9" t="s">
        <v>356</v>
      </c>
    </row>
    <row r="56" customFormat="false" ht="45.75" hidden="false" customHeight="true" outlineLevel="0" collapsed="false">
      <c r="A56" s="8" t="s">
        <v>250</v>
      </c>
      <c r="B56" s="8" t="s">
        <v>307</v>
      </c>
      <c r="C56" s="9" t="s">
        <v>347</v>
      </c>
      <c r="D56" s="9" t="s">
        <v>357</v>
      </c>
      <c r="E56" s="9" t="s">
        <v>358</v>
      </c>
      <c r="F56" s="9" t="s">
        <v>359</v>
      </c>
      <c r="G56" s="8" t="s">
        <v>58</v>
      </c>
      <c r="H56" s="8" t="s">
        <v>47</v>
      </c>
      <c r="I56" s="8" t="n">
        <v>3</v>
      </c>
      <c r="J56" s="8" t="n">
        <v>5</v>
      </c>
      <c r="K56" s="8" t="s">
        <v>48</v>
      </c>
      <c r="L56" s="8" t="s">
        <v>59</v>
      </c>
      <c r="M56" s="8" t="s">
        <v>50</v>
      </c>
      <c r="N56" s="8" t="n">
        <v>2</v>
      </c>
      <c r="O56" s="8" t="s">
        <v>245</v>
      </c>
      <c r="P56" s="10" t="s">
        <v>52</v>
      </c>
      <c r="Q56" s="9" t="s">
        <v>360</v>
      </c>
    </row>
    <row r="57" customFormat="false" ht="45.75" hidden="false" customHeight="true" outlineLevel="0" collapsed="false">
      <c r="A57" s="8" t="s">
        <v>110</v>
      </c>
      <c r="B57" s="8" t="s">
        <v>307</v>
      </c>
      <c r="C57" s="9" t="s">
        <v>347</v>
      </c>
      <c r="D57" s="9" t="s">
        <v>361</v>
      </c>
      <c r="E57" s="9" t="s">
        <v>362</v>
      </c>
      <c r="F57" s="9" t="s">
        <v>363</v>
      </c>
      <c r="G57" s="8" t="s">
        <v>58</v>
      </c>
      <c r="H57" s="8" t="s">
        <v>47</v>
      </c>
      <c r="I57" s="8" t="n">
        <v>3</v>
      </c>
      <c r="J57" s="8" t="n">
        <v>5</v>
      </c>
      <c r="K57" s="8" t="s">
        <v>48</v>
      </c>
      <c r="L57" s="8" t="s">
        <v>49</v>
      </c>
      <c r="M57" s="8" t="s">
        <v>50</v>
      </c>
      <c r="N57" s="8" t="n">
        <v>3</v>
      </c>
      <c r="O57" s="8" t="s">
        <v>106</v>
      </c>
      <c r="P57" s="10" t="s">
        <v>52</v>
      </c>
      <c r="Q57" s="9" t="s">
        <v>364</v>
      </c>
    </row>
    <row r="58" customFormat="false" ht="45.75" hidden="false" customHeight="true" outlineLevel="0" collapsed="false">
      <c r="A58" s="8" t="s">
        <v>261</v>
      </c>
      <c r="B58" s="8" t="s">
        <v>307</v>
      </c>
      <c r="C58" s="9" t="s">
        <v>347</v>
      </c>
      <c r="D58" s="9" t="s">
        <v>365</v>
      </c>
      <c r="E58" s="9" t="s">
        <v>366</v>
      </c>
      <c r="F58" s="9" t="s">
        <v>367</v>
      </c>
      <c r="G58" s="8" t="s">
        <v>46</v>
      </c>
      <c r="H58" s="8" t="s">
        <v>47</v>
      </c>
      <c r="I58" s="8" t="n">
        <v>2</v>
      </c>
      <c r="J58" s="8" t="n">
        <v>4</v>
      </c>
      <c r="K58" s="8" t="s">
        <v>48</v>
      </c>
      <c r="L58" s="8" t="s">
        <v>49</v>
      </c>
      <c r="M58" s="8" t="s">
        <v>50</v>
      </c>
      <c r="N58" s="8" t="n">
        <v>2</v>
      </c>
      <c r="O58" s="8" t="s">
        <v>100</v>
      </c>
      <c r="P58" s="10" t="s">
        <v>52</v>
      </c>
      <c r="Q58" s="9" t="s">
        <v>368</v>
      </c>
    </row>
    <row r="59" customFormat="false" ht="45.75" hidden="false" customHeight="true" outlineLevel="0" collapsed="false">
      <c r="A59" s="8" t="s">
        <v>60</v>
      </c>
      <c r="B59" s="8" t="s">
        <v>307</v>
      </c>
      <c r="C59" s="9" t="s">
        <v>347</v>
      </c>
      <c r="D59" s="9" t="s">
        <v>369</v>
      </c>
      <c r="E59" s="9" t="s">
        <v>370</v>
      </c>
      <c r="F59" s="9" t="s">
        <v>371</v>
      </c>
      <c r="G59" s="8" t="s">
        <v>46</v>
      </c>
      <c r="H59" s="8" t="s">
        <v>123</v>
      </c>
      <c r="I59" s="8" t="n">
        <v>3</v>
      </c>
      <c r="J59" s="8" t="n">
        <v>5</v>
      </c>
      <c r="K59" s="8" t="s">
        <v>48</v>
      </c>
      <c r="L59" s="8" t="s">
        <v>59</v>
      </c>
      <c r="M59" s="8" t="s">
        <v>50</v>
      </c>
      <c r="N59" s="8" t="n">
        <v>1</v>
      </c>
      <c r="O59" s="8" t="s">
        <v>54</v>
      </c>
      <c r="P59" s="10" t="s">
        <v>52</v>
      </c>
      <c r="Q59" s="9" t="s">
        <v>372</v>
      </c>
    </row>
    <row r="60" customFormat="false" ht="45.75" hidden="false" customHeight="true" outlineLevel="0" collapsed="false">
      <c r="A60" s="8" t="s">
        <v>104</v>
      </c>
      <c r="B60" s="8" t="s">
        <v>307</v>
      </c>
      <c r="C60" s="9" t="s">
        <v>347</v>
      </c>
      <c r="D60" s="9" t="s">
        <v>373</v>
      </c>
      <c r="E60" s="9" t="s">
        <v>374</v>
      </c>
      <c r="F60" s="9" t="s">
        <v>375</v>
      </c>
      <c r="G60" s="8" t="s">
        <v>157</v>
      </c>
      <c r="H60" s="8" t="s">
        <v>47</v>
      </c>
      <c r="I60" s="8" t="n">
        <v>1</v>
      </c>
      <c r="J60" s="8" t="n">
        <v>4</v>
      </c>
      <c r="K60" s="8" t="s">
        <v>48</v>
      </c>
      <c r="L60" s="8" t="s">
        <v>49</v>
      </c>
      <c r="M60" s="8" t="s">
        <v>50</v>
      </c>
      <c r="N60" s="8" t="n">
        <v>2</v>
      </c>
      <c r="O60" s="8" t="s">
        <v>252</v>
      </c>
      <c r="P60" s="10" t="s">
        <v>52</v>
      </c>
      <c r="Q60" s="9" t="s">
        <v>376</v>
      </c>
    </row>
    <row r="61" customFormat="false" ht="45.75" hidden="false" customHeight="true" outlineLevel="0" collapsed="false">
      <c r="A61" s="8" t="s">
        <v>377</v>
      </c>
      <c r="B61" s="8" t="s">
        <v>307</v>
      </c>
      <c r="C61" s="9" t="s">
        <v>160</v>
      </c>
      <c r="D61" s="9" t="s">
        <v>378</v>
      </c>
      <c r="E61" s="9" t="s">
        <v>379</v>
      </c>
      <c r="F61" s="9" t="s">
        <v>380</v>
      </c>
      <c r="G61" s="8" t="s">
        <v>79</v>
      </c>
      <c r="H61" s="8" t="s">
        <v>123</v>
      </c>
      <c r="I61" s="8" t="n">
        <v>4</v>
      </c>
      <c r="J61" s="8" t="n">
        <v>4</v>
      </c>
      <c r="K61" s="8" t="s">
        <v>98</v>
      </c>
      <c r="L61" s="8" t="s">
        <v>59</v>
      </c>
      <c r="M61" s="8" t="s">
        <v>50</v>
      </c>
      <c r="N61" s="8" t="n">
        <v>3</v>
      </c>
      <c r="O61" s="8" t="s">
        <v>172</v>
      </c>
      <c r="P61" s="10" t="s">
        <v>52</v>
      </c>
      <c r="Q61" s="9" t="s">
        <v>381</v>
      </c>
    </row>
    <row r="62" customFormat="false" ht="45.75" hidden="false" customHeight="true" outlineLevel="0" collapsed="false">
      <c r="A62" s="8" t="s">
        <v>80</v>
      </c>
      <c r="B62" s="8" t="s">
        <v>307</v>
      </c>
      <c r="C62" s="9" t="s">
        <v>160</v>
      </c>
      <c r="D62" s="9" t="s">
        <v>382</v>
      </c>
      <c r="E62" s="9" t="s">
        <v>383</v>
      </c>
      <c r="F62" s="9" t="s">
        <v>384</v>
      </c>
      <c r="G62" s="8" t="s">
        <v>46</v>
      </c>
      <c r="H62" s="8" t="s">
        <v>123</v>
      </c>
      <c r="I62" s="8" t="n">
        <v>3</v>
      </c>
      <c r="J62" s="8" t="n">
        <v>4</v>
      </c>
      <c r="K62" s="8" t="s">
        <v>48</v>
      </c>
      <c r="L62" s="8" t="s">
        <v>49</v>
      </c>
      <c r="M62" s="8" t="s">
        <v>50</v>
      </c>
      <c r="N62" s="8" t="n">
        <v>1</v>
      </c>
      <c r="O62" s="8" t="s">
        <v>159</v>
      </c>
      <c r="P62" s="10" t="s">
        <v>52</v>
      </c>
      <c r="Q62" s="9" t="s">
        <v>385</v>
      </c>
    </row>
    <row r="63" customFormat="false" ht="45.75" hidden="false" customHeight="true" outlineLevel="0" collapsed="false">
      <c r="A63" s="8" t="s">
        <v>164</v>
      </c>
      <c r="B63" s="8" t="s">
        <v>307</v>
      </c>
      <c r="C63" s="9" t="s">
        <v>160</v>
      </c>
      <c r="D63" s="9" t="s">
        <v>386</v>
      </c>
      <c r="E63" s="9" t="s">
        <v>387</v>
      </c>
      <c r="F63" s="9" t="s">
        <v>388</v>
      </c>
      <c r="G63" s="8" t="s">
        <v>58</v>
      </c>
      <c r="H63" s="8" t="s">
        <v>123</v>
      </c>
      <c r="I63" s="8" t="n">
        <v>3</v>
      </c>
      <c r="J63" s="8" t="n">
        <v>3</v>
      </c>
      <c r="K63" s="8" t="s">
        <v>48</v>
      </c>
      <c r="L63" s="8" t="s">
        <v>59</v>
      </c>
      <c r="M63" s="8" t="s">
        <v>50</v>
      </c>
      <c r="N63" s="8" t="n">
        <v>3</v>
      </c>
      <c r="O63" s="8" t="s">
        <v>223</v>
      </c>
      <c r="P63" s="10" t="s">
        <v>52</v>
      </c>
      <c r="Q63" s="9" t="s">
        <v>389</v>
      </c>
    </row>
    <row r="64" customFormat="false" ht="45.75" hidden="false" customHeight="true" outlineLevel="0" collapsed="false">
      <c r="A64" s="8" t="s">
        <v>116</v>
      </c>
      <c r="B64" s="8" t="s">
        <v>307</v>
      </c>
      <c r="C64" s="9" t="s">
        <v>201</v>
      </c>
      <c r="D64" s="9" t="s">
        <v>390</v>
      </c>
      <c r="E64" s="9" t="s">
        <v>391</v>
      </c>
      <c r="F64" s="9" t="s">
        <v>392</v>
      </c>
      <c r="G64" s="8" t="s">
        <v>46</v>
      </c>
      <c r="H64" s="8" t="s">
        <v>123</v>
      </c>
      <c r="I64" s="8" t="n">
        <v>3</v>
      </c>
      <c r="J64" s="8" t="n">
        <v>3</v>
      </c>
      <c r="K64" s="8" t="s">
        <v>48</v>
      </c>
      <c r="L64" s="8" t="s">
        <v>49</v>
      </c>
      <c r="M64" s="8" t="s">
        <v>50</v>
      </c>
      <c r="N64" s="8" t="n">
        <v>1</v>
      </c>
      <c r="O64" s="8" t="s">
        <v>393</v>
      </c>
      <c r="P64" s="10" t="s">
        <v>52</v>
      </c>
      <c r="Q64" s="9" t="s">
        <v>394</v>
      </c>
    </row>
    <row r="65" customFormat="false" ht="45.75" hidden="false" customHeight="true" outlineLevel="0" collapsed="false">
      <c r="A65" s="8" t="s">
        <v>395</v>
      </c>
      <c r="B65" s="8" t="s">
        <v>307</v>
      </c>
      <c r="C65" s="9" t="s">
        <v>201</v>
      </c>
      <c r="D65" s="9" t="s">
        <v>396</v>
      </c>
      <c r="E65" s="9" t="s">
        <v>397</v>
      </c>
      <c r="F65" s="9" t="s">
        <v>398</v>
      </c>
      <c r="G65" s="8" t="s">
        <v>79</v>
      </c>
      <c r="H65" s="8" t="s">
        <v>123</v>
      </c>
      <c r="I65" s="8" t="n">
        <v>5</v>
      </c>
      <c r="J65" s="8" t="n">
        <v>5</v>
      </c>
      <c r="K65" s="8" t="s">
        <v>48</v>
      </c>
      <c r="L65" s="8" t="s">
        <v>59</v>
      </c>
      <c r="M65" s="8" t="s">
        <v>50</v>
      </c>
      <c r="N65" s="8" t="n">
        <v>3</v>
      </c>
      <c r="O65" s="8" t="s">
        <v>223</v>
      </c>
      <c r="P65" s="10" t="s">
        <v>52</v>
      </c>
      <c r="Q65" s="9" t="s">
        <v>399</v>
      </c>
    </row>
    <row r="66" customFormat="false" ht="45.75" hidden="false" customHeight="true" outlineLevel="0" collapsed="false">
      <c r="A66" s="8" t="s">
        <v>206</v>
      </c>
      <c r="B66" s="8" t="s">
        <v>307</v>
      </c>
      <c r="C66" s="9" t="s">
        <v>201</v>
      </c>
      <c r="D66" s="9" t="s">
        <v>400</v>
      </c>
      <c r="E66" s="9" t="s">
        <v>401</v>
      </c>
      <c r="F66" s="9" t="s">
        <v>402</v>
      </c>
      <c r="G66" s="8" t="s">
        <v>157</v>
      </c>
      <c r="H66" s="8" t="s">
        <v>205</v>
      </c>
      <c r="I66" s="8" t="n">
        <v>3</v>
      </c>
      <c r="J66" s="8" t="n">
        <v>4</v>
      </c>
      <c r="K66" s="8" t="s">
        <v>48</v>
      </c>
      <c r="L66" s="8" t="s">
        <v>49</v>
      </c>
      <c r="M66" s="8" t="s">
        <v>66</v>
      </c>
      <c r="N66" s="8" t="n">
        <v>2</v>
      </c>
      <c r="O66" s="8" t="s">
        <v>200</v>
      </c>
      <c r="P66" s="10" t="s">
        <v>52</v>
      </c>
      <c r="Q66" s="9" t="s">
        <v>403</v>
      </c>
    </row>
    <row r="67" customFormat="false" ht="45.75" hidden="false" customHeight="true" outlineLevel="0" collapsed="false">
      <c r="A67" s="8" t="s">
        <v>232</v>
      </c>
      <c r="B67" s="8" t="s">
        <v>307</v>
      </c>
      <c r="C67" s="9" t="s">
        <v>201</v>
      </c>
      <c r="D67" s="9" t="s">
        <v>404</v>
      </c>
      <c r="E67" s="9" t="s">
        <v>405</v>
      </c>
      <c r="F67" s="9" t="s">
        <v>406</v>
      </c>
      <c r="G67" s="8" t="s">
        <v>79</v>
      </c>
      <c r="H67" s="8" t="s">
        <v>205</v>
      </c>
      <c r="I67" s="8" t="n">
        <v>4</v>
      </c>
      <c r="J67" s="8" t="n">
        <v>5</v>
      </c>
      <c r="K67" s="8" t="s">
        <v>48</v>
      </c>
      <c r="L67" s="8" t="s">
        <v>170</v>
      </c>
      <c r="M67" s="8" t="s">
        <v>50</v>
      </c>
      <c r="N67" s="8" t="n">
        <v>2</v>
      </c>
      <c r="O67" s="8" t="s">
        <v>252</v>
      </c>
      <c r="P67" s="10" t="s">
        <v>52</v>
      </c>
      <c r="Q67" s="9" t="s">
        <v>407</v>
      </c>
    </row>
    <row r="68" customFormat="false" ht="45.75" hidden="false" customHeight="true" outlineLevel="0" collapsed="false">
      <c r="A68" s="8" t="s">
        <v>51</v>
      </c>
      <c r="B68" s="8" t="s">
        <v>307</v>
      </c>
      <c r="C68" s="9" t="s">
        <v>201</v>
      </c>
      <c r="D68" s="9" t="s">
        <v>408</v>
      </c>
      <c r="E68" s="9" t="s">
        <v>409</v>
      </c>
      <c r="F68" s="9" t="s">
        <v>410</v>
      </c>
      <c r="G68" s="8" t="s">
        <v>157</v>
      </c>
      <c r="H68" s="8" t="s">
        <v>205</v>
      </c>
      <c r="I68" s="8" t="n">
        <v>2</v>
      </c>
      <c r="J68" s="8" t="n">
        <v>5</v>
      </c>
      <c r="K68" s="8" t="s">
        <v>48</v>
      </c>
      <c r="L68" s="8" t="s">
        <v>49</v>
      </c>
      <c r="M68" s="8" t="s">
        <v>50</v>
      </c>
      <c r="N68" s="8" t="n">
        <v>1</v>
      </c>
      <c r="O68" s="8" t="s">
        <v>153</v>
      </c>
      <c r="P68" s="10" t="s">
        <v>52</v>
      </c>
      <c r="Q68" s="9" t="s">
        <v>411</v>
      </c>
    </row>
    <row r="69" customFormat="false" ht="45.75" hidden="false" customHeight="true" outlineLevel="0" collapsed="false">
      <c r="A69" s="8" t="s">
        <v>412</v>
      </c>
      <c r="B69" s="8" t="s">
        <v>307</v>
      </c>
      <c r="C69" s="9" t="s">
        <v>201</v>
      </c>
      <c r="D69" s="9" t="s">
        <v>413</v>
      </c>
      <c r="E69" s="9" t="s">
        <v>414</v>
      </c>
      <c r="F69" s="9" t="s">
        <v>415</v>
      </c>
      <c r="G69" s="8" t="s">
        <v>46</v>
      </c>
      <c r="H69" s="8" t="s">
        <v>205</v>
      </c>
      <c r="I69" s="8" t="n">
        <v>2</v>
      </c>
      <c r="J69" s="8" t="n">
        <v>5</v>
      </c>
      <c r="K69" s="8" t="s">
        <v>48</v>
      </c>
      <c r="L69" s="8" t="s">
        <v>59</v>
      </c>
      <c r="M69" s="8" t="s">
        <v>50</v>
      </c>
      <c r="N69" s="8" t="n">
        <v>1</v>
      </c>
      <c r="O69" s="8" t="s">
        <v>136</v>
      </c>
      <c r="P69" s="10" t="s">
        <v>52</v>
      </c>
      <c r="Q69" s="9" t="s">
        <v>416</v>
      </c>
    </row>
    <row r="70" customFormat="false" ht="45.75" hidden="false" customHeight="true" outlineLevel="0" collapsed="false">
      <c r="A70" s="8" t="s">
        <v>193</v>
      </c>
      <c r="B70" s="8" t="s">
        <v>307</v>
      </c>
      <c r="C70" s="9" t="s">
        <v>201</v>
      </c>
      <c r="D70" s="9" t="s">
        <v>417</v>
      </c>
      <c r="E70" s="9" t="s">
        <v>418</v>
      </c>
      <c r="F70" s="9" t="s">
        <v>419</v>
      </c>
      <c r="G70" s="8" t="s">
        <v>46</v>
      </c>
      <c r="H70" s="8" t="s">
        <v>205</v>
      </c>
      <c r="I70" s="8" t="n">
        <v>3</v>
      </c>
      <c r="J70" s="8" t="n">
        <v>5</v>
      </c>
      <c r="K70" s="8" t="s">
        <v>48</v>
      </c>
      <c r="L70" s="8" t="s">
        <v>59</v>
      </c>
      <c r="M70" s="8" t="s">
        <v>50</v>
      </c>
      <c r="N70" s="8" t="n">
        <v>1</v>
      </c>
      <c r="O70" s="8" t="s">
        <v>240</v>
      </c>
      <c r="P70" s="10" t="s">
        <v>52</v>
      </c>
      <c r="Q70" s="9" t="s">
        <v>420</v>
      </c>
    </row>
    <row r="71" customFormat="false" ht="45.75" hidden="false" customHeight="true" outlineLevel="0" collapsed="false">
      <c r="A71" s="8" t="s">
        <v>421</v>
      </c>
      <c r="B71" s="8" t="s">
        <v>307</v>
      </c>
      <c r="C71" s="9" t="s">
        <v>119</v>
      </c>
      <c r="D71" s="9" t="s">
        <v>422</v>
      </c>
      <c r="E71" s="9" t="s">
        <v>423</v>
      </c>
      <c r="F71" s="9" t="s">
        <v>424</v>
      </c>
      <c r="G71" s="8" t="s">
        <v>157</v>
      </c>
      <c r="H71" s="8" t="s">
        <v>123</v>
      </c>
      <c r="I71" s="8" t="n">
        <v>5</v>
      </c>
      <c r="J71" s="8" t="n">
        <v>5</v>
      </c>
      <c r="K71" s="8" t="s">
        <v>48</v>
      </c>
      <c r="L71" s="8" t="s">
        <v>170</v>
      </c>
      <c r="M71" s="8" t="s">
        <v>50</v>
      </c>
      <c r="N71" s="8" t="n">
        <v>1</v>
      </c>
      <c r="O71" s="8" t="s">
        <v>75</v>
      </c>
      <c r="P71" s="10" t="s">
        <v>52</v>
      </c>
      <c r="Q71" s="9" t="s">
        <v>425</v>
      </c>
    </row>
    <row r="72" customFormat="false" ht="45.75" hidden="false" customHeight="true" outlineLevel="0" collapsed="false">
      <c r="A72" s="8" t="s">
        <v>426</v>
      </c>
      <c r="B72" s="8" t="s">
        <v>307</v>
      </c>
      <c r="C72" s="9" t="s">
        <v>119</v>
      </c>
      <c r="D72" s="9" t="s">
        <v>427</v>
      </c>
      <c r="E72" s="9" t="s">
        <v>428</v>
      </c>
      <c r="F72" s="9" t="s">
        <v>429</v>
      </c>
      <c r="G72" s="8" t="s">
        <v>157</v>
      </c>
      <c r="H72" s="8" t="s">
        <v>123</v>
      </c>
      <c r="I72" s="8" t="n">
        <v>4</v>
      </c>
      <c r="J72" s="8" t="n">
        <v>4</v>
      </c>
      <c r="K72" s="8" t="s">
        <v>98</v>
      </c>
      <c r="L72" s="8" t="s">
        <v>170</v>
      </c>
      <c r="M72" s="8" t="s">
        <v>50</v>
      </c>
      <c r="N72" s="8" t="n">
        <v>2</v>
      </c>
      <c r="O72" s="8" t="s">
        <v>75</v>
      </c>
      <c r="P72" s="10" t="s">
        <v>52</v>
      </c>
      <c r="Q72" s="9" t="s">
        <v>430</v>
      </c>
    </row>
    <row r="73" customFormat="false" ht="45.75" hidden="false" customHeight="true" outlineLevel="0" collapsed="false">
      <c r="A73" s="8" t="s">
        <v>67</v>
      </c>
      <c r="B73" s="8" t="s">
        <v>307</v>
      </c>
      <c r="C73" s="9" t="s">
        <v>119</v>
      </c>
      <c r="D73" s="9" t="s">
        <v>431</v>
      </c>
      <c r="E73" s="9" t="s">
        <v>432</v>
      </c>
      <c r="F73" s="9" t="s">
        <v>433</v>
      </c>
      <c r="G73" s="8" t="s">
        <v>46</v>
      </c>
      <c r="H73" s="8" t="s">
        <v>205</v>
      </c>
      <c r="I73" s="8" t="n">
        <v>2</v>
      </c>
      <c r="J73" s="8" t="n">
        <v>4</v>
      </c>
      <c r="K73" s="8" t="s">
        <v>249</v>
      </c>
      <c r="L73" s="8" t="s">
        <v>49</v>
      </c>
      <c r="M73" s="8" t="s">
        <v>50</v>
      </c>
      <c r="N73" s="8" t="n">
        <v>1</v>
      </c>
      <c r="O73" s="8" t="s">
        <v>125</v>
      </c>
      <c r="P73" s="10" t="s">
        <v>52</v>
      </c>
      <c r="Q73" s="9" t="s">
        <v>434</v>
      </c>
    </row>
    <row r="74" customFormat="false" ht="45.75" hidden="false" customHeight="true" outlineLevel="0" collapsed="false">
      <c r="A74" s="8" t="s">
        <v>129</v>
      </c>
      <c r="B74" s="8" t="s">
        <v>307</v>
      </c>
      <c r="C74" s="9" t="s">
        <v>119</v>
      </c>
      <c r="D74" s="9" t="s">
        <v>435</v>
      </c>
      <c r="E74" s="9" t="s">
        <v>436</v>
      </c>
      <c r="F74" s="9" t="s">
        <v>437</v>
      </c>
      <c r="G74" s="8" t="s">
        <v>46</v>
      </c>
      <c r="H74" s="8" t="s">
        <v>123</v>
      </c>
      <c r="I74" s="8" t="n">
        <v>2</v>
      </c>
      <c r="J74" s="8" t="n">
        <v>4</v>
      </c>
      <c r="K74" s="8" t="s">
        <v>48</v>
      </c>
      <c r="L74" s="8" t="s">
        <v>59</v>
      </c>
      <c r="M74" s="8" t="s">
        <v>66</v>
      </c>
      <c r="N74" s="8" t="n">
        <v>2</v>
      </c>
      <c r="O74" s="8" t="s">
        <v>257</v>
      </c>
      <c r="P74" s="10" t="s">
        <v>52</v>
      </c>
      <c r="Q74" s="9" t="s">
        <v>438</v>
      </c>
    </row>
    <row r="75" customFormat="false" ht="45.75" hidden="false" customHeight="true" outlineLevel="0" collapsed="false">
      <c r="A75" s="8" t="s">
        <v>187</v>
      </c>
      <c r="B75" s="8" t="s">
        <v>307</v>
      </c>
      <c r="C75" s="9" t="s">
        <v>119</v>
      </c>
      <c r="D75" s="9" t="s">
        <v>439</v>
      </c>
      <c r="E75" s="9" t="s">
        <v>440</v>
      </c>
      <c r="F75" s="9" t="s">
        <v>441</v>
      </c>
      <c r="G75" s="8" t="s">
        <v>157</v>
      </c>
      <c r="H75" s="8" t="s">
        <v>123</v>
      </c>
      <c r="I75" s="8" t="n">
        <v>1</v>
      </c>
      <c r="J75" s="8" t="n">
        <v>4</v>
      </c>
      <c r="K75" s="8" t="s">
        <v>86</v>
      </c>
      <c r="L75" s="8" t="s">
        <v>49</v>
      </c>
      <c r="M75" s="8" t="s">
        <v>50</v>
      </c>
      <c r="N75" s="8" t="n">
        <v>1</v>
      </c>
      <c r="O75" s="8" t="s">
        <v>106</v>
      </c>
      <c r="P75" s="10" t="s">
        <v>52</v>
      </c>
      <c r="Q75" s="9" t="s">
        <v>442</v>
      </c>
    </row>
    <row r="76" customFormat="false" ht="45.75" hidden="false" customHeight="true" outlineLevel="0" collapsed="false">
      <c r="A76" s="8" t="s">
        <v>73</v>
      </c>
      <c r="B76" s="8" t="s">
        <v>307</v>
      </c>
      <c r="C76" s="9" t="s">
        <v>119</v>
      </c>
      <c r="D76" s="9" t="s">
        <v>443</v>
      </c>
      <c r="E76" s="9" t="s">
        <v>444</v>
      </c>
      <c r="F76" s="9" t="s">
        <v>445</v>
      </c>
      <c r="G76" s="8" t="s">
        <v>46</v>
      </c>
      <c r="H76" s="8" t="s">
        <v>123</v>
      </c>
      <c r="I76" s="8" t="n">
        <v>3</v>
      </c>
      <c r="J76" s="8" t="n">
        <v>5</v>
      </c>
      <c r="K76" s="8" t="s">
        <v>48</v>
      </c>
      <c r="L76" s="8" t="s">
        <v>59</v>
      </c>
      <c r="M76" s="8" t="s">
        <v>50</v>
      </c>
      <c r="N76" s="8" t="n">
        <v>2</v>
      </c>
      <c r="O76" s="8" t="s">
        <v>69</v>
      </c>
      <c r="P76" s="10" t="s">
        <v>52</v>
      </c>
      <c r="Q76" s="9" t="s">
        <v>446</v>
      </c>
    </row>
    <row r="77" customFormat="false" ht="45.75" hidden="false" customHeight="true" outlineLevel="0" collapsed="false">
      <c r="A77" s="11" t="s">
        <v>447</v>
      </c>
      <c r="B77" s="11" t="s">
        <v>41</v>
      </c>
      <c r="C77" s="12" t="s">
        <v>42</v>
      </c>
      <c r="D77" s="12" t="s">
        <v>448</v>
      </c>
      <c r="E77" s="12" t="s">
        <v>449</v>
      </c>
      <c r="F77" s="12" t="s">
        <v>450</v>
      </c>
      <c r="G77" s="11" t="s">
        <v>58</v>
      </c>
      <c r="H77" s="11" t="s">
        <v>47</v>
      </c>
      <c r="I77" s="11" t="n">
        <v>3</v>
      </c>
      <c r="J77" s="11" t="n">
        <v>3</v>
      </c>
      <c r="K77" s="11" t="s">
        <v>48</v>
      </c>
      <c r="L77" s="11" t="s">
        <v>49</v>
      </c>
      <c r="M77" s="11" t="s">
        <v>50</v>
      </c>
      <c r="N77" s="11" t="n">
        <v>2</v>
      </c>
      <c r="O77" s="11" t="s">
        <v>193</v>
      </c>
      <c r="P77" s="13" t="s">
        <v>451</v>
      </c>
      <c r="Q77" s="12" t="s">
        <v>452</v>
      </c>
    </row>
    <row r="78" customFormat="false" ht="45.75" hidden="false" customHeight="true" outlineLevel="0" collapsed="false">
      <c r="A78" s="11" t="s">
        <v>453</v>
      </c>
      <c r="B78" s="11" t="s">
        <v>41</v>
      </c>
      <c r="C78" s="12" t="s">
        <v>42</v>
      </c>
      <c r="D78" s="12" t="s">
        <v>454</v>
      </c>
      <c r="E78" s="12" t="s">
        <v>455</v>
      </c>
      <c r="F78" s="12" t="s">
        <v>456</v>
      </c>
      <c r="G78" s="11" t="s">
        <v>58</v>
      </c>
      <c r="H78" s="11" t="s">
        <v>47</v>
      </c>
      <c r="I78" s="11" t="n">
        <v>3</v>
      </c>
      <c r="J78" s="11" t="n">
        <v>4</v>
      </c>
      <c r="K78" s="11" t="s">
        <v>48</v>
      </c>
      <c r="L78" s="11" t="s">
        <v>49</v>
      </c>
      <c r="M78" s="11" t="s">
        <v>50</v>
      </c>
      <c r="N78" s="11" t="n">
        <v>2</v>
      </c>
      <c r="O78" s="11" t="s">
        <v>250</v>
      </c>
      <c r="P78" s="13" t="s">
        <v>451</v>
      </c>
      <c r="Q78" s="12" t="s">
        <v>457</v>
      </c>
    </row>
    <row r="79" customFormat="false" ht="45.75" hidden="false" customHeight="true" outlineLevel="0" collapsed="false">
      <c r="A79" s="11" t="s">
        <v>458</v>
      </c>
      <c r="B79" s="11" t="s">
        <v>41</v>
      </c>
      <c r="C79" s="12" t="s">
        <v>42</v>
      </c>
      <c r="D79" s="12" t="s">
        <v>459</v>
      </c>
      <c r="E79" s="12" t="s">
        <v>460</v>
      </c>
      <c r="F79" s="12" t="s">
        <v>461</v>
      </c>
      <c r="G79" s="11" t="s">
        <v>46</v>
      </c>
      <c r="H79" s="11" t="s">
        <v>47</v>
      </c>
      <c r="I79" s="11" t="n">
        <v>3</v>
      </c>
      <c r="J79" s="11" t="n">
        <v>2</v>
      </c>
      <c r="K79" s="11" t="s">
        <v>249</v>
      </c>
      <c r="L79" s="11" t="s">
        <v>49</v>
      </c>
      <c r="M79" s="11" t="s">
        <v>50</v>
      </c>
      <c r="N79" s="11" t="n">
        <v>1</v>
      </c>
      <c r="O79" s="11" t="s">
        <v>193</v>
      </c>
      <c r="P79" s="13" t="s">
        <v>451</v>
      </c>
      <c r="Q79" s="12" t="s">
        <v>462</v>
      </c>
    </row>
    <row r="80" customFormat="false" ht="45.75" hidden="false" customHeight="true" outlineLevel="0" collapsed="false">
      <c r="A80" s="11" t="s">
        <v>463</v>
      </c>
      <c r="B80" s="11" t="s">
        <v>41</v>
      </c>
      <c r="C80" s="12" t="s">
        <v>42</v>
      </c>
      <c r="D80" s="12" t="s">
        <v>464</v>
      </c>
      <c r="E80" s="12" t="s">
        <v>465</v>
      </c>
      <c r="F80" s="12" t="s">
        <v>466</v>
      </c>
      <c r="G80" s="11" t="s">
        <v>79</v>
      </c>
      <c r="H80" s="11" t="s">
        <v>47</v>
      </c>
      <c r="I80" s="11" t="n">
        <v>3</v>
      </c>
      <c r="J80" s="11" t="n">
        <v>4</v>
      </c>
      <c r="K80" s="11" t="s">
        <v>48</v>
      </c>
      <c r="L80" s="11" t="s">
        <v>59</v>
      </c>
      <c r="M80" s="11" t="s">
        <v>66</v>
      </c>
      <c r="N80" s="11" t="n">
        <v>3</v>
      </c>
      <c r="O80" s="11" t="s">
        <v>193</v>
      </c>
      <c r="P80" s="13" t="s">
        <v>451</v>
      </c>
      <c r="Q80" s="12" t="s">
        <v>467</v>
      </c>
    </row>
    <row r="81" customFormat="false" ht="45.75" hidden="false" customHeight="true" outlineLevel="0" collapsed="false">
      <c r="A81" s="11" t="s">
        <v>468</v>
      </c>
      <c r="B81" s="11" t="s">
        <v>41</v>
      </c>
      <c r="C81" s="12" t="s">
        <v>119</v>
      </c>
      <c r="D81" s="12" t="s">
        <v>469</v>
      </c>
      <c r="E81" s="12" t="s">
        <v>470</v>
      </c>
      <c r="F81" s="12" t="s">
        <v>471</v>
      </c>
      <c r="G81" s="11" t="s">
        <v>58</v>
      </c>
      <c r="H81" s="11" t="s">
        <v>47</v>
      </c>
      <c r="I81" s="11" t="n">
        <v>2</v>
      </c>
      <c r="J81" s="11" t="n">
        <v>3</v>
      </c>
      <c r="K81" s="11" t="s">
        <v>98</v>
      </c>
      <c r="L81" s="11" t="s">
        <v>49</v>
      </c>
      <c r="M81" s="11" t="s">
        <v>66</v>
      </c>
      <c r="N81" s="11" t="n">
        <v>3</v>
      </c>
      <c r="O81" s="11" t="s">
        <v>472</v>
      </c>
      <c r="P81" s="13" t="s">
        <v>451</v>
      </c>
      <c r="Q81" s="12" t="s">
        <v>473</v>
      </c>
    </row>
    <row r="82" customFormat="false" ht="45.75" hidden="false" customHeight="true" outlineLevel="0" collapsed="false">
      <c r="A82" s="11" t="s">
        <v>474</v>
      </c>
      <c r="B82" s="11" t="s">
        <v>41</v>
      </c>
      <c r="C82" s="12" t="s">
        <v>119</v>
      </c>
      <c r="D82" s="12" t="s">
        <v>475</v>
      </c>
      <c r="E82" s="12" t="s">
        <v>476</v>
      </c>
      <c r="F82" s="12" t="s">
        <v>477</v>
      </c>
      <c r="G82" s="11" t="s">
        <v>58</v>
      </c>
      <c r="H82" s="11" t="s">
        <v>47</v>
      </c>
      <c r="I82" s="11" t="n">
        <v>2</v>
      </c>
      <c r="J82" s="11" t="n">
        <v>3</v>
      </c>
      <c r="K82" s="11" t="s">
        <v>48</v>
      </c>
      <c r="L82" s="11" t="s">
        <v>59</v>
      </c>
      <c r="M82" s="11" t="s">
        <v>66</v>
      </c>
      <c r="N82" s="11" t="n">
        <v>3</v>
      </c>
      <c r="O82" s="11" t="s">
        <v>352</v>
      </c>
      <c r="P82" s="13" t="s">
        <v>451</v>
      </c>
      <c r="Q82" s="12" t="s">
        <v>478</v>
      </c>
    </row>
    <row r="83" customFormat="false" ht="45.75" hidden="false" customHeight="true" outlineLevel="0" collapsed="false">
      <c r="A83" s="11" t="s">
        <v>479</v>
      </c>
      <c r="B83" s="11" t="s">
        <v>41</v>
      </c>
      <c r="C83" s="12" t="s">
        <v>119</v>
      </c>
      <c r="D83" s="12" t="s">
        <v>480</v>
      </c>
      <c r="E83" s="12" t="s">
        <v>481</v>
      </c>
      <c r="F83" s="12" t="s">
        <v>482</v>
      </c>
      <c r="G83" s="11" t="s">
        <v>58</v>
      </c>
      <c r="H83" s="11" t="s">
        <v>47</v>
      </c>
      <c r="I83" s="11" t="n">
        <v>2</v>
      </c>
      <c r="J83" s="11" t="n">
        <v>2</v>
      </c>
      <c r="K83" s="11" t="s">
        <v>86</v>
      </c>
      <c r="L83" s="11" t="s">
        <v>49</v>
      </c>
      <c r="M83" s="11" t="s">
        <v>483</v>
      </c>
      <c r="N83" s="11" t="n">
        <v>2</v>
      </c>
      <c r="O83" s="11" t="s">
        <v>472</v>
      </c>
      <c r="P83" s="13" t="s">
        <v>451</v>
      </c>
      <c r="Q83" s="12" t="s">
        <v>484</v>
      </c>
    </row>
    <row r="84" customFormat="false" ht="45.75" hidden="false" customHeight="true" outlineLevel="0" collapsed="false">
      <c r="A84" s="11" t="s">
        <v>485</v>
      </c>
      <c r="B84" s="11" t="s">
        <v>41</v>
      </c>
      <c r="C84" s="12" t="s">
        <v>119</v>
      </c>
      <c r="D84" s="12" t="s">
        <v>486</v>
      </c>
      <c r="E84" s="12" t="s">
        <v>487</v>
      </c>
      <c r="F84" s="12" t="s">
        <v>488</v>
      </c>
      <c r="G84" s="11" t="s">
        <v>46</v>
      </c>
      <c r="H84" s="11" t="s">
        <v>47</v>
      </c>
      <c r="I84" s="11" t="n">
        <v>4</v>
      </c>
      <c r="J84" s="11" t="n">
        <v>3</v>
      </c>
      <c r="K84" s="11" t="s">
        <v>48</v>
      </c>
      <c r="L84" s="11" t="s">
        <v>49</v>
      </c>
      <c r="M84" s="11" t="s">
        <v>50</v>
      </c>
      <c r="N84" s="11" t="n">
        <v>2</v>
      </c>
      <c r="O84" s="11" t="s">
        <v>193</v>
      </c>
      <c r="P84" s="13" t="s">
        <v>451</v>
      </c>
      <c r="Q84" s="12" t="s">
        <v>489</v>
      </c>
    </row>
    <row r="85" customFormat="false" ht="45.75" hidden="false" customHeight="true" outlineLevel="0" collapsed="false">
      <c r="A85" s="11" t="s">
        <v>490</v>
      </c>
      <c r="B85" s="11" t="s">
        <v>41</v>
      </c>
      <c r="C85" s="12" t="s">
        <v>119</v>
      </c>
      <c r="D85" s="12" t="s">
        <v>491</v>
      </c>
      <c r="E85" s="12" t="s">
        <v>492</v>
      </c>
      <c r="F85" s="12" t="s">
        <v>493</v>
      </c>
      <c r="G85" s="11" t="s">
        <v>58</v>
      </c>
      <c r="H85" s="11" t="s">
        <v>123</v>
      </c>
      <c r="I85" s="11" t="n">
        <v>2</v>
      </c>
      <c r="J85" s="11" t="n">
        <v>3</v>
      </c>
      <c r="K85" s="11" t="s">
        <v>48</v>
      </c>
      <c r="L85" s="11" t="s">
        <v>59</v>
      </c>
      <c r="M85" s="11" t="s">
        <v>66</v>
      </c>
      <c r="N85" s="11" t="n">
        <v>3</v>
      </c>
      <c r="O85" s="11" t="s">
        <v>92</v>
      </c>
      <c r="P85" s="13" t="s">
        <v>451</v>
      </c>
      <c r="Q85" s="12" t="s">
        <v>494</v>
      </c>
    </row>
    <row r="86" customFormat="false" ht="45.75" hidden="false" customHeight="true" outlineLevel="0" collapsed="false">
      <c r="A86" s="11" t="s">
        <v>495</v>
      </c>
      <c r="B86" s="11" t="s">
        <v>41</v>
      </c>
      <c r="C86" s="12" t="s">
        <v>160</v>
      </c>
      <c r="D86" s="12" t="s">
        <v>496</v>
      </c>
      <c r="E86" s="12" t="s">
        <v>497</v>
      </c>
      <c r="F86" s="12" t="s">
        <v>498</v>
      </c>
      <c r="G86" s="11" t="s">
        <v>58</v>
      </c>
      <c r="H86" s="11" t="s">
        <v>123</v>
      </c>
      <c r="I86" s="11" t="n">
        <v>3</v>
      </c>
      <c r="J86" s="11" t="n">
        <v>3</v>
      </c>
      <c r="K86" s="11" t="s">
        <v>86</v>
      </c>
      <c r="L86" s="11" t="s">
        <v>49</v>
      </c>
      <c r="M86" s="11" t="s">
        <v>483</v>
      </c>
      <c r="N86" s="11" t="n">
        <v>3</v>
      </c>
      <c r="O86" s="11" t="s">
        <v>164</v>
      </c>
      <c r="P86" s="13" t="s">
        <v>451</v>
      </c>
      <c r="Q86" s="12" t="s">
        <v>499</v>
      </c>
    </row>
    <row r="87" customFormat="false" ht="45.75" hidden="false" customHeight="true" outlineLevel="0" collapsed="false">
      <c r="A87" s="11" t="s">
        <v>393</v>
      </c>
      <c r="B87" s="11" t="s">
        <v>41</v>
      </c>
      <c r="C87" s="12" t="s">
        <v>160</v>
      </c>
      <c r="D87" s="12" t="s">
        <v>500</v>
      </c>
      <c r="E87" s="12" t="s">
        <v>501</v>
      </c>
      <c r="F87" s="12" t="s">
        <v>502</v>
      </c>
      <c r="G87" s="11" t="s">
        <v>46</v>
      </c>
      <c r="H87" s="11" t="s">
        <v>123</v>
      </c>
      <c r="I87" s="11" t="n">
        <v>2</v>
      </c>
      <c r="J87" s="11" t="n">
        <v>2</v>
      </c>
      <c r="K87" s="11" t="s">
        <v>48</v>
      </c>
      <c r="L87" s="11" t="s">
        <v>49</v>
      </c>
      <c r="M87" s="11" t="s">
        <v>66</v>
      </c>
      <c r="N87" s="11" t="n">
        <v>2</v>
      </c>
      <c r="O87" s="11" t="s">
        <v>116</v>
      </c>
      <c r="P87" s="13" t="s">
        <v>451</v>
      </c>
      <c r="Q87" s="12" t="s">
        <v>503</v>
      </c>
    </row>
    <row r="88" customFormat="false" ht="45.75" hidden="false" customHeight="true" outlineLevel="0" collapsed="false">
      <c r="A88" s="11" t="s">
        <v>504</v>
      </c>
      <c r="B88" s="11" t="s">
        <v>41</v>
      </c>
      <c r="C88" s="12" t="s">
        <v>160</v>
      </c>
      <c r="D88" s="12" t="s">
        <v>505</v>
      </c>
      <c r="E88" s="12" t="s">
        <v>506</v>
      </c>
      <c r="F88" s="12" t="s">
        <v>507</v>
      </c>
      <c r="G88" s="11" t="s">
        <v>79</v>
      </c>
      <c r="H88" s="11" t="s">
        <v>123</v>
      </c>
      <c r="I88" s="11" t="n">
        <v>4</v>
      </c>
      <c r="J88" s="11" t="n">
        <v>3</v>
      </c>
      <c r="K88" s="11" t="s">
        <v>86</v>
      </c>
      <c r="L88" s="11" t="s">
        <v>170</v>
      </c>
      <c r="M88" s="11" t="s">
        <v>483</v>
      </c>
      <c r="N88" s="11" t="n">
        <v>4</v>
      </c>
      <c r="O88" s="11" t="s">
        <v>164</v>
      </c>
      <c r="P88" s="13" t="s">
        <v>451</v>
      </c>
      <c r="Q88" s="12" t="s">
        <v>508</v>
      </c>
    </row>
    <row r="89" customFormat="false" ht="45.75" hidden="false" customHeight="true" outlineLevel="0" collapsed="false">
      <c r="A89" s="11" t="s">
        <v>509</v>
      </c>
      <c r="B89" s="11" t="s">
        <v>41</v>
      </c>
      <c r="C89" s="12" t="s">
        <v>178</v>
      </c>
      <c r="D89" s="12" t="s">
        <v>510</v>
      </c>
      <c r="E89" s="12" t="s">
        <v>511</v>
      </c>
      <c r="F89" s="12" t="s">
        <v>512</v>
      </c>
      <c r="G89" s="11" t="s">
        <v>157</v>
      </c>
      <c r="H89" s="11" t="s">
        <v>47</v>
      </c>
      <c r="I89" s="11" t="n">
        <v>2</v>
      </c>
      <c r="J89" s="11" t="n">
        <v>3</v>
      </c>
      <c r="K89" s="11" t="s">
        <v>48</v>
      </c>
      <c r="L89" s="11" t="s">
        <v>49</v>
      </c>
      <c r="M89" s="11" t="s">
        <v>50</v>
      </c>
      <c r="N89" s="11" t="n">
        <v>2</v>
      </c>
      <c r="O89" s="11" t="s">
        <v>336</v>
      </c>
      <c r="P89" s="13" t="s">
        <v>451</v>
      </c>
      <c r="Q89" s="12" t="s">
        <v>513</v>
      </c>
    </row>
    <row r="90" customFormat="false" ht="45.75" hidden="false" customHeight="true" outlineLevel="0" collapsed="false">
      <c r="A90" s="11" t="s">
        <v>514</v>
      </c>
      <c r="B90" s="11" t="s">
        <v>41</v>
      </c>
      <c r="C90" s="12" t="s">
        <v>178</v>
      </c>
      <c r="D90" s="12" t="s">
        <v>515</v>
      </c>
      <c r="E90" s="12" t="s">
        <v>516</v>
      </c>
      <c r="F90" s="12" t="s">
        <v>517</v>
      </c>
      <c r="G90" s="11" t="s">
        <v>79</v>
      </c>
      <c r="H90" s="11" t="s">
        <v>123</v>
      </c>
      <c r="I90" s="11" t="n">
        <v>3</v>
      </c>
      <c r="J90" s="11" t="n">
        <v>3</v>
      </c>
      <c r="K90" s="11" t="s">
        <v>48</v>
      </c>
      <c r="L90" s="11" t="s">
        <v>59</v>
      </c>
      <c r="M90" s="11" t="s">
        <v>66</v>
      </c>
      <c r="N90" s="11" t="n">
        <v>3</v>
      </c>
      <c r="O90" s="11" t="s">
        <v>92</v>
      </c>
      <c r="P90" s="13" t="s">
        <v>451</v>
      </c>
      <c r="Q90" s="12" t="s">
        <v>518</v>
      </c>
    </row>
    <row r="91" customFormat="false" ht="45.75" hidden="false" customHeight="true" outlineLevel="0" collapsed="false">
      <c r="A91" s="11" t="s">
        <v>519</v>
      </c>
      <c r="B91" s="11" t="s">
        <v>41</v>
      </c>
      <c r="C91" s="12" t="s">
        <v>178</v>
      </c>
      <c r="D91" s="12" t="s">
        <v>520</v>
      </c>
      <c r="E91" s="12" t="s">
        <v>521</v>
      </c>
      <c r="F91" s="12" t="s">
        <v>522</v>
      </c>
      <c r="G91" s="11" t="s">
        <v>79</v>
      </c>
      <c r="H91" s="11" t="s">
        <v>123</v>
      </c>
      <c r="I91" s="11" t="n">
        <v>5</v>
      </c>
      <c r="J91" s="11" t="n">
        <v>4</v>
      </c>
      <c r="K91" s="11" t="s">
        <v>48</v>
      </c>
      <c r="L91" s="11" t="s">
        <v>59</v>
      </c>
      <c r="M91" s="11" t="s">
        <v>66</v>
      </c>
      <c r="N91" s="11" t="n">
        <v>3</v>
      </c>
      <c r="O91" s="11" t="s">
        <v>523</v>
      </c>
      <c r="P91" s="13" t="s">
        <v>451</v>
      </c>
      <c r="Q91" s="12" t="s">
        <v>524</v>
      </c>
    </row>
    <row r="92" customFormat="false" ht="45.75" hidden="false" customHeight="true" outlineLevel="0" collapsed="false">
      <c r="A92" s="11" t="s">
        <v>525</v>
      </c>
      <c r="B92" s="11" t="s">
        <v>41</v>
      </c>
      <c r="C92" s="12" t="s">
        <v>178</v>
      </c>
      <c r="D92" s="12" t="s">
        <v>526</v>
      </c>
      <c r="E92" s="12" t="s">
        <v>527</v>
      </c>
      <c r="F92" s="12" t="s">
        <v>528</v>
      </c>
      <c r="G92" s="11" t="s">
        <v>79</v>
      </c>
      <c r="H92" s="11" t="s">
        <v>123</v>
      </c>
      <c r="I92" s="11" t="n">
        <v>5</v>
      </c>
      <c r="J92" s="11" t="n">
        <v>2</v>
      </c>
      <c r="K92" s="11" t="s">
        <v>48</v>
      </c>
      <c r="L92" s="11" t="s">
        <v>59</v>
      </c>
      <c r="M92" s="11" t="s">
        <v>483</v>
      </c>
      <c r="N92" s="11" t="n">
        <v>3</v>
      </c>
      <c r="O92" s="11" t="s">
        <v>92</v>
      </c>
      <c r="P92" s="13" t="s">
        <v>451</v>
      </c>
      <c r="Q92" s="12" t="s">
        <v>529</v>
      </c>
    </row>
    <row r="93" customFormat="false" ht="45.75" hidden="false" customHeight="true" outlineLevel="0" collapsed="false">
      <c r="A93" s="11" t="s">
        <v>530</v>
      </c>
      <c r="B93" s="11" t="s">
        <v>41</v>
      </c>
      <c r="C93" s="12" t="s">
        <v>178</v>
      </c>
      <c r="D93" s="12" t="s">
        <v>531</v>
      </c>
      <c r="E93" s="12" t="s">
        <v>532</v>
      </c>
      <c r="F93" s="12" t="s">
        <v>533</v>
      </c>
      <c r="G93" s="11" t="s">
        <v>79</v>
      </c>
      <c r="H93" s="11" t="s">
        <v>123</v>
      </c>
      <c r="I93" s="11" t="n">
        <v>5</v>
      </c>
      <c r="J93" s="11" t="n">
        <v>2</v>
      </c>
      <c r="K93" s="11" t="s">
        <v>86</v>
      </c>
      <c r="L93" s="11" t="s">
        <v>59</v>
      </c>
      <c r="M93" s="11" t="s">
        <v>483</v>
      </c>
      <c r="N93" s="11" t="n">
        <v>3</v>
      </c>
      <c r="O93" s="11" t="s">
        <v>534</v>
      </c>
      <c r="P93" s="13" t="s">
        <v>451</v>
      </c>
      <c r="Q93" s="12" t="s">
        <v>535</v>
      </c>
    </row>
    <row r="94" customFormat="false" ht="45.75" hidden="false" customHeight="true" outlineLevel="0" collapsed="false">
      <c r="A94" s="11" t="s">
        <v>536</v>
      </c>
      <c r="B94" s="11" t="s">
        <v>41</v>
      </c>
      <c r="C94" s="12" t="s">
        <v>178</v>
      </c>
      <c r="D94" s="12" t="s">
        <v>537</v>
      </c>
      <c r="E94" s="12" t="s">
        <v>538</v>
      </c>
      <c r="F94" s="12" t="s">
        <v>539</v>
      </c>
      <c r="G94" s="11" t="s">
        <v>79</v>
      </c>
      <c r="H94" s="11" t="s">
        <v>123</v>
      </c>
      <c r="I94" s="11" t="n">
        <v>5</v>
      </c>
      <c r="J94" s="11" t="n">
        <v>2</v>
      </c>
      <c r="K94" s="11" t="s">
        <v>48</v>
      </c>
      <c r="L94" s="11" t="s">
        <v>59</v>
      </c>
      <c r="M94" s="11" t="s">
        <v>483</v>
      </c>
      <c r="N94" s="11" t="n">
        <v>3</v>
      </c>
      <c r="O94" s="11" t="s">
        <v>281</v>
      </c>
      <c r="P94" s="13" t="s">
        <v>451</v>
      </c>
      <c r="Q94" s="12" t="s">
        <v>540</v>
      </c>
    </row>
    <row r="95" customFormat="false" ht="45.75" hidden="false" customHeight="true" outlineLevel="0" collapsed="false">
      <c r="A95" s="11" t="s">
        <v>541</v>
      </c>
      <c r="B95" s="11" t="s">
        <v>41</v>
      </c>
      <c r="C95" s="12" t="s">
        <v>201</v>
      </c>
      <c r="D95" s="12" t="s">
        <v>542</v>
      </c>
      <c r="E95" s="12" t="s">
        <v>543</v>
      </c>
      <c r="F95" s="12" t="s">
        <v>544</v>
      </c>
      <c r="G95" s="11" t="s">
        <v>157</v>
      </c>
      <c r="H95" s="11" t="s">
        <v>545</v>
      </c>
      <c r="I95" s="11" t="n">
        <v>2</v>
      </c>
      <c r="J95" s="11" t="n">
        <v>2</v>
      </c>
      <c r="K95" s="11" t="s">
        <v>48</v>
      </c>
      <c r="L95" s="11" t="s">
        <v>49</v>
      </c>
      <c r="M95" s="11" t="s">
        <v>483</v>
      </c>
      <c r="N95" s="11" t="n">
        <v>3</v>
      </c>
      <c r="O95" s="11" t="s">
        <v>546</v>
      </c>
      <c r="P95" s="13" t="s">
        <v>451</v>
      </c>
      <c r="Q95" s="12" t="s">
        <v>547</v>
      </c>
    </row>
    <row r="96" customFormat="false" ht="45.75" hidden="false" customHeight="true" outlineLevel="0" collapsed="false">
      <c r="A96" s="11" t="s">
        <v>548</v>
      </c>
      <c r="B96" s="11" t="s">
        <v>41</v>
      </c>
      <c r="C96" s="12" t="s">
        <v>201</v>
      </c>
      <c r="D96" s="12" t="s">
        <v>549</v>
      </c>
      <c r="E96" s="12" t="s">
        <v>550</v>
      </c>
      <c r="F96" s="12" t="s">
        <v>551</v>
      </c>
      <c r="G96" s="11" t="s">
        <v>79</v>
      </c>
      <c r="H96" s="11" t="s">
        <v>123</v>
      </c>
      <c r="I96" s="11" t="n">
        <v>2</v>
      </c>
      <c r="J96" s="11" t="n">
        <v>3</v>
      </c>
      <c r="K96" s="11" t="s">
        <v>249</v>
      </c>
      <c r="L96" s="11" t="s">
        <v>59</v>
      </c>
      <c r="M96" s="11" t="s">
        <v>50</v>
      </c>
      <c r="N96" s="11" t="n">
        <v>2</v>
      </c>
      <c r="O96" s="11" t="s">
        <v>92</v>
      </c>
      <c r="P96" s="13" t="s">
        <v>451</v>
      </c>
      <c r="Q96" s="12" t="s">
        <v>552</v>
      </c>
    </row>
    <row r="97" customFormat="false" ht="45.75" hidden="false" customHeight="true" outlineLevel="0" collapsed="false">
      <c r="A97" s="11" t="s">
        <v>553</v>
      </c>
      <c r="B97" s="11" t="s">
        <v>41</v>
      </c>
      <c r="C97" s="12" t="s">
        <v>235</v>
      </c>
      <c r="D97" s="12" t="s">
        <v>554</v>
      </c>
      <c r="E97" s="12" t="s">
        <v>555</v>
      </c>
      <c r="F97" s="12" t="s">
        <v>556</v>
      </c>
      <c r="G97" s="11" t="s">
        <v>79</v>
      </c>
      <c r="H97" s="11" t="s">
        <v>47</v>
      </c>
      <c r="I97" s="11" t="n">
        <v>5</v>
      </c>
      <c r="J97" s="11" t="n">
        <v>5</v>
      </c>
      <c r="K97" s="11" t="s">
        <v>48</v>
      </c>
      <c r="L97" s="11" t="s">
        <v>170</v>
      </c>
      <c r="M97" s="11" t="s">
        <v>66</v>
      </c>
      <c r="N97" s="11" t="n">
        <v>4</v>
      </c>
      <c r="O97" s="11" t="s">
        <v>92</v>
      </c>
      <c r="P97" s="13" t="s">
        <v>451</v>
      </c>
      <c r="Q97" s="12" t="s">
        <v>557</v>
      </c>
    </row>
    <row r="98" customFormat="false" ht="45.75" hidden="false" customHeight="true" outlineLevel="0" collapsed="false">
      <c r="A98" s="11" t="s">
        <v>558</v>
      </c>
      <c r="B98" s="11" t="s">
        <v>41</v>
      </c>
      <c r="C98" s="12" t="s">
        <v>264</v>
      </c>
      <c r="D98" s="12" t="s">
        <v>559</v>
      </c>
      <c r="E98" s="12" t="s">
        <v>560</v>
      </c>
      <c r="F98" s="12" t="s">
        <v>561</v>
      </c>
      <c r="G98" s="11" t="s">
        <v>58</v>
      </c>
      <c r="H98" s="11" t="s">
        <v>47</v>
      </c>
      <c r="I98" s="11" t="n">
        <v>2</v>
      </c>
      <c r="J98" s="11" t="n">
        <v>3</v>
      </c>
      <c r="K98" s="11" t="s">
        <v>98</v>
      </c>
      <c r="L98" s="11" t="s">
        <v>49</v>
      </c>
      <c r="M98" s="11" t="s">
        <v>66</v>
      </c>
      <c r="N98" s="11" t="n">
        <v>2</v>
      </c>
      <c r="O98" s="11" t="s">
        <v>151</v>
      </c>
      <c r="P98" s="13" t="s">
        <v>451</v>
      </c>
      <c r="Q98" s="12" t="s">
        <v>562</v>
      </c>
    </row>
    <row r="99" customFormat="false" ht="45.75" hidden="false" customHeight="true" outlineLevel="0" collapsed="false">
      <c r="A99" s="11" t="s">
        <v>563</v>
      </c>
      <c r="B99" s="11" t="s">
        <v>41</v>
      </c>
      <c r="C99" s="12" t="s">
        <v>264</v>
      </c>
      <c r="D99" s="12" t="s">
        <v>564</v>
      </c>
      <c r="E99" s="12" t="s">
        <v>565</v>
      </c>
      <c r="F99" s="12" t="s">
        <v>566</v>
      </c>
      <c r="G99" s="11" t="s">
        <v>79</v>
      </c>
      <c r="H99" s="11" t="s">
        <v>47</v>
      </c>
      <c r="I99" s="11" t="n">
        <v>3</v>
      </c>
      <c r="J99" s="11" t="n">
        <v>3</v>
      </c>
      <c r="K99" s="11" t="s">
        <v>86</v>
      </c>
      <c r="L99" s="11" t="s">
        <v>59</v>
      </c>
      <c r="M99" s="11" t="s">
        <v>66</v>
      </c>
      <c r="N99" s="11" t="n">
        <v>3</v>
      </c>
      <c r="O99" s="11" t="s">
        <v>60</v>
      </c>
      <c r="P99" s="13" t="s">
        <v>451</v>
      </c>
      <c r="Q99" s="12" t="s">
        <v>567</v>
      </c>
    </row>
    <row r="100" customFormat="false" ht="45.75" hidden="false" customHeight="true" outlineLevel="0" collapsed="false">
      <c r="A100" s="11" t="s">
        <v>568</v>
      </c>
      <c r="B100" s="11" t="s">
        <v>276</v>
      </c>
      <c r="C100" s="12" t="s">
        <v>276</v>
      </c>
      <c r="D100" s="12" t="s">
        <v>569</v>
      </c>
      <c r="E100" s="12" t="s">
        <v>570</v>
      </c>
      <c r="F100" s="12" t="s">
        <v>571</v>
      </c>
      <c r="G100" s="11" t="s">
        <v>79</v>
      </c>
      <c r="H100" s="11" t="s">
        <v>123</v>
      </c>
      <c r="I100" s="11" t="n">
        <v>2</v>
      </c>
      <c r="J100" s="11" t="n">
        <v>1</v>
      </c>
      <c r="K100" s="11" t="s">
        <v>48</v>
      </c>
      <c r="L100" s="11" t="s">
        <v>49</v>
      </c>
      <c r="M100" s="11" t="s">
        <v>50</v>
      </c>
      <c r="N100" s="11" t="n">
        <v>1</v>
      </c>
      <c r="O100" s="11" t="s">
        <v>530</v>
      </c>
      <c r="P100" s="13" t="s">
        <v>451</v>
      </c>
      <c r="Q100" s="12" t="s">
        <v>572</v>
      </c>
    </row>
    <row r="101" customFormat="false" ht="45.75" hidden="false" customHeight="true" outlineLevel="0" collapsed="false">
      <c r="A101" s="11" t="s">
        <v>573</v>
      </c>
      <c r="B101" s="11" t="s">
        <v>276</v>
      </c>
      <c r="C101" s="12" t="s">
        <v>276</v>
      </c>
      <c r="D101" s="12" t="s">
        <v>574</v>
      </c>
      <c r="E101" s="12" t="s">
        <v>575</v>
      </c>
      <c r="F101" s="12" t="s">
        <v>576</v>
      </c>
      <c r="G101" s="11" t="s">
        <v>157</v>
      </c>
      <c r="H101" s="11" t="s">
        <v>205</v>
      </c>
      <c r="I101" s="11" t="n">
        <v>1</v>
      </c>
      <c r="J101" s="11" t="n">
        <v>1</v>
      </c>
      <c r="K101" s="11" t="s">
        <v>48</v>
      </c>
      <c r="L101" s="11" t="s">
        <v>49</v>
      </c>
      <c r="M101" s="11" t="s">
        <v>50</v>
      </c>
      <c r="N101" s="11" t="n">
        <v>1</v>
      </c>
      <c r="O101" s="11" t="s">
        <v>228</v>
      </c>
      <c r="P101" s="13" t="s">
        <v>451</v>
      </c>
      <c r="Q101" s="12" t="s">
        <v>577</v>
      </c>
    </row>
    <row r="102" customFormat="false" ht="45.75" hidden="false" customHeight="true" outlineLevel="0" collapsed="false">
      <c r="A102" s="11" t="s">
        <v>578</v>
      </c>
      <c r="B102" s="11" t="s">
        <v>276</v>
      </c>
      <c r="C102" s="12" t="s">
        <v>276</v>
      </c>
      <c r="D102" s="12" t="s">
        <v>579</v>
      </c>
      <c r="E102" s="12" t="s">
        <v>580</v>
      </c>
      <c r="F102" s="12" t="s">
        <v>581</v>
      </c>
      <c r="G102" s="11" t="s">
        <v>58</v>
      </c>
      <c r="H102" s="11" t="s">
        <v>123</v>
      </c>
      <c r="I102" s="11" t="n">
        <v>3</v>
      </c>
      <c r="J102" s="11" t="n">
        <v>1</v>
      </c>
      <c r="K102" s="11" t="s">
        <v>48</v>
      </c>
      <c r="L102" s="11" t="s">
        <v>59</v>
      </c>
      <c r="M102" s="11" t="s">
        <v>483</v>
      </c>
      <c r="N102" s="11" t="n">
        <v>2</v>
      </c>
      <c r="O102" s="11" t="s">
        <v>514</v>
      </c>
      <c r="P102" s="13" t="s">
        <v>451</v>
      </c>
      <c r="Q102" s="12" t="s">
        <v>582</v>
      </c>
    </row>
    <row r="103" customFormat="false" ht="45.75" hidden="false" customHeight="true" outlineLevel="0" collapsed="false">
      <c r="A103" s="11" t="s">
        <v>534</v>
      </c>
      <c r="B103" s="11" t="s">
        <v>276</v>
      </c>
      <c r="C103" s="12" t="s">
        <v>276</v>
      </c>
      <c r="D103" s="12" t="s">
        <v>583</v>
      </c>
      <c r="E103" s="12" t="s">
        <v>584</v>
      </c>
      <c r="F103" s="12" t="s">
        <v>585</v>
      </c>
      <c r="G103" s="11" t="s">
        <v>157</v>
      </c>
      <c r="H103" s="11" t="s">
        <v>123</v>
      </c>
      <c r="I103" s="11" t="n">
        <v>4</v>
      </c>
      <c r="J103" s="11" t="n">
        <v>2</v>
      </c>
      <c r="K103" s="11" t="s">
        <v>86</v>
      </c>
      <c r="L103" s="11" t="s">
        <v>170</v>
      </c>
      <c r="M103" s="11" t="s">
        <v>483</v>
      </c>
      <c r="N103" s="11" t="n">
        <v>4</v>
      </c>
      <c r="O103" s="11" t="s">
        <v>530</v>
      </c>
      <c r="P103" s="13" t="s">
        <v>451</v>
      </c>
      <c r="Q103" s="12" t="s">
        <v>586</v>
      </c>
    </row>
    <row r="104" customFormat="false" ht="45.75" hidden="false" customHeight="true" outlineLevel="0" collapsed="false">
      <c r="A104" s="11" t="s">
        <v>587</v>
      </c>
      <c r="B104" s="11" t="s">
        <v>307</v>
      </c>
      <c r="C104" s="12" t="s">
        <v>308</v>
      </c>
      <c r="D104" s="12" t="s">
        <v>588</v>
      </c>
      <c r="E104" s="12" t="s">
        <v>589</v>
      </c>
      <c r="F104" s="12" t="s">
        <v>590</v>
      </c>
      <c r="G104" s="11" t="s">
        <v>157</v>
      </c>
      <c r="H104" s="11" t="s">
        <v>47</v>
      </c>
      <c r="I104" s="11" t="n">
        <v>2</v>
      </c>
      <c r="J104" s="11" t="n">
        <v>4</v>
      </c>
      <c r="K104" s="11" t="s">
        <v>48</v>
      </c>
      <c r="L104" s="11" t="s">
        <v>49</v>
      </c>
      <c r="M104" s="11" t="s">
        <v>50</v>
      </c>
      <c r="N104" s="11" t="n">
        <v>1</v>
      </c>
      <c r="O104" s="11" t="s">
        <v>100</v>
      </c>
      <c r="P104" s="13" t="s">
        <v>451</v>
      </c>
      <c r="Q104" s="12" t="s">
        <v>591</v>
      </c>
    </row>
    <row r="105" customFormat="false" ht="45.75" hidden="false" customHeight="true" outlineLevel="0" collapsed="false">
      <c r="A105" s="11" t="s">
        <v>592</v>
      </c>
      <c r="B105" s="11" t="s">
        <v>307</v>
      </c>
      <c r="C105" s="12" t="s">
        <v>308</v>
      </c>
      <c r="D105" s="12" t="s">
        <v>593</v>
      </c>
      <c r="E105" s="12" t="s">
        <v>594</v>
      </c>
      <c r="F105" s="12" t="s">
        <v>595</v>
      </c>
      <c r="G105" s="11" t="s">
        <v>157</v>
      </c>
      <c r="H105" s="11" t="s">
        <v>205</v>
      </c>
      <c r="I105" s="11" t="n">
        <v>2</v>
      </c>
      <c r="J105" s="11" t="n">
        <v>3</v>
      </c>
      <c r="K105" s="11" t="s">
        <v>48</v>
      </c>
      <c r="L105" s="11" t="s">
        <v>49</v>
      </c>
      <c r="M105" s="11" t="s">
        <v>66</v>
      </c>
      <c r="N105" s="11" t="n">
        <v>2</v>
      </c>
      <c r="O105" s="11" t="s">
        <v>223</v>
      </c>
      <c r="P105" s="13" t="s">
        <v>451</v>
      </c>
      <c r="Q105" s="12" t="s">
        <v>596</v>
      </c>
    </row>
    <row r="106" customFormat="false" ht="45.75" hidden="false" customHeight="true" outlineLevel="0" collapsed="false">
      <c r="A106" s="11" t="s">
        <v>597</v>
      </c>
      <c r="B106" s="11" t="s">
        <v>307</v>
      </c>
      <c r="C106" s="12" t="s">
        <v>347</v>
      </c>
      <c r="D106" s="12" t="s">
        <v>598</v>
      </c>
      <c r="E106" s="12" t="s">
        <v>599</v>
      </c>
      <c r="F106" s="12" t="s">
        <v>600</v>
      </c>
      <c r="G106" s="11" t="s">
        <v>58</v>
      </c>
      <c r="H106" s="11" t="s">
        <v>123</v>
      </c>
      <c r="I106" s="11" t="n">
        <v>4</v>
      </c>
      <c r="J106" s="11" t="n">
        <v>4</v>
      </c>
      <c r="K106" s="11" t="s">
        <v>48</v>
      </c>
      <c r="L106" s="11" t="s">
        <v>49</v>
      </c>
      <c r="M106" s="11" t="s">
        <v>50</v>
      </c>
      <c r="N106" s="11" t="n">
        <v>2</v>
      </c>
      <c r="O106" s="11" t="s">
        <v>553</v>
      </c>
      <c r="P106" s="13" t="s">
        <v>451</v>
      </c>
      <c r="Q106" s="12" t="s">
        <v>601</v>
      </c>
    </row>
    <row r="107" customFormat="false" ht="45.75" hidden="false" customHeight="true" outlineLevel="0" collapsed="false">
      <c r="A107" s="11" t="s">
        <v>602</v>
      </c>
      <c r="B107" s="11" t="s">
        <v>307</v>
      </c>
      <c r="C107" s="12" t="s">
        <v>347</v>
      </c>
      <c r="D107" s="12" t="s">
        <v>603</v>
      </c>
      <c r="E107" s="12" t="s">
        <v>604</v>
      </c>
      <c r="F107" s="12" t="s">
        <v>605</v>
      </c>
      <c r="G107" s="11" t="s">
        <v>46</v>
      </c>
      <c r="H107" s="11" t="s">
        <v>123</v>
      </c>
      <c r="I107" s="11" t="n">
        <v>2</v>
      </c>
      <c r="J107" s="11" t="n">
        <v>3</v>
      </c>
      <c r="K107" s="11" t="s">
        <v>86</v>
      </c>
      <c r="L107" s="11" t="s">
        <v>49</v>
      </c>
      <c r="M107" s="11" t="s">
        <v>50</v>
      </c>
      <c r="N107" s="11" t="n">
        <v>2</v>
      </c>
      <c r="O107" s="11" t="s">
        <v>558</v>
      </c>
      <c r="P107" s="13" t="s">
        <v>451</v>
      </c>
      <c r="Q107" s="12" t="s">
        <v>606</v>
      </c>
    </row>
    <row r="108" customFormat="false" ht="45.75" hidden="false" customHeight="true" outlineLevel="0" collapsed="false">
      <c r="A108" s="11" t="s">
        <v>607</v>
      </c>
      <c r="B108" s="11" t="s">
        <v>307</v>
      </c>
      <c r="C108" s="12" t="s">
        <v>160</v>
      </c>
      <c r="D108" s="12" t="s">
        <v>608</v>
      </c>
      <c r="E108" s="12" t="s">
        <v>609</v>
      </c>
      <c r="F108" s="12" t="s">
        <v>610</v>
      </c>
      <c r="G108" s="11" t="s">
        <v>58</v>
      </c>
      <c r="H108" s="11" t="s">
        <v>47</v>
      </c>
      <c r="I108" s="11" t="n">
        <v>3</v>
      </c>
      <c r="J108" s="11" t="n">
        <v>3</v>
      </c>
      <c r="K108" s="11" t="s">
        <v>48</v>
      </c>
      <c r="L108" s="11" t="s">
        <v>59</v>
      </c>
      <c r="M108" s="11" t="s">
        <v>66</v>
      </c>
      <c r="N108" s="11" t="n">
        <v>3</v>
      </c>
      <c r="O108" s="11" t="s">
        <v>541</v>
      </c>
      <c r="P108" s="13" t="s">
        <v>451</v>
      </c>
      <c r="Q108" s="12" t="s">
        <v>611</v>
      </c>
    </row>
    <row r="109" customFormat="false" ht="45.75" hidden="false" customHeight="true" outlineLevel="0" collapsed="false">
      <c r="A109" s="11" t="s">
        <v>612</v>
      </c>
      <c r="B109" s="11" t="s">
        <v>307</v>
      </c>
      <c r="C109" s="12" t="s">
        <v>160</v>
      </c>
      <c r="D109" s="12" t="s">
        <v>613</v>
      </c>
      <c r="E109" s="12" t="s">
        <v>614</v>
      </c>
      <c r="F109" s="12" t="s">
        <v>615</v>
      </c>
      <c r="G109" s="11" t="s">
        <v>58</v>
      </c>
      <c r="H109" s="11" t="s">
        <v>123</v>
      </c>
      <c r="I109" s="11" t="n">
        <v>4</v>
      </c>
      <c r="J109" s="11" t="n">
        <v>4</v>
      </c>
      <c r="K109" s="11" t="s">
        <v>48</v>
      </c>
      <c r="L109" s="11" t="s">
        <v>170</v>
      </c>
      <c r="M109" s="11" t="s">
        <v>66</v>
      </c>
      <c r="N109" s="11" t="n">
        <v>3</v>
      </c>
      <c r="O109" s="11" t="s">
        <v>553</v>
      </c>
      <c r="P109" s="13" t="s">
        <v>451</v>
      </c>
      <c r="Q109" s="12" t="s">
        <v>616</v>
      </c>
    </row>
    <row r="110" customFormat="false" ht="45.75" hidden="false" customHeight="true" outlineLevel="0" collapsed="false">
      <c r="A110" s="11" t="s">
        <v>617</v>
      </c>
      <c r="B110" s="11" t="s">
        <v>307</v>
      </c>
      <c r="C110" s="12" t="s">
        <v>201</v>
      </c>
      <c r="D110" s="12" t="s">
        <v>618</v>
      </c>
      <c r="E110" s="12" t="s">
        <v>619</v>
      </c>
      <c r="F110" s="12" t="s">
        <v>620</v>
      </c>
      <c r="G110" s="11" t="s">
        <v>79</v>
      </c>
      <c r="H110" s="11" t="s">
        <v>123</v>
      </c>
      <c r="I110" s="11" t="n">
        <v>3</v>
      </c>
      <c r="J110" s="11" t="n">
        <v>4</v>
      </c>
      <c r="K110" s="11" t="s">
        <v>98</v>
      </c>
      <c r="L110" s="11" t="s">
        <v>59</v>
      </c>
      <c r="M110" s="11" t="s">
        <v>50</v>
      </c>
      <c r="N110" s="11" t="n">
        <v>2</v>
      </c>
      <c r="O110" s="11" t="s">
        <v>223</v>
      </c>
      <c r="P110" s="13" t="s">
        <v>451</v>
      </c>
      <c r="Q110" s="12" t="s">
        <v>621</v>
      </c>
    </row>
    <row r="111" customFormat="false" ht="45.75" hidden="false" customHeight="true" outlineLevel="0" collapsed="false">
      <c r="A111" s="11" t="s">
        <v>622</v>
      </c>
      <c r="B111" s="11" t="s">
        <v>307</v>
      </c>
      <c r="C111" s="12" t="s">
        <v>201</v>
      </c>
      <c r="D111" s="12" t="s">
        <v>623</v>
      </c>
      <c r="E111" s="12" t="s">
        <v>624</v>
      </c>
      <c r="F111" s="12" t="s">
        <v>625</v>
      </c>
      <c r="G111" s="11" t="s">
        <v>46</v>
      </c>
      <c r="H111" s="11" t="s">
        <v>123</v>
      </c>
      <c r="I111" s="11" t="n">
        <v>3</v>
      </c>
      <c r="J111" s="11" t="n">
        <v>4</v>
      </c>
      <c r="K111" s="11" t="s">
        <v>249</v>
      </c>
      <c r="L111" s="11" t="s">
        <v>49</v>
      </c>
      <c r="M111" s="11" t="s">
        <v>50</v>
      </c>
      <c r="N111" s="11" t="n">
        <v>2</v>
      </c>
      <c r="O111" s="11" t="s">
        <v>208</v>
      </c>
      <c r="P111" s="13" t="s">
        <v>451</v>
      </c>
      <c r="Q111" s="12" t="s">
        <v>626</v>
      </c>
    </row>
    <row r="112" customFormat="false" ht="45.75" hidden="false" customHeight="true" outlineLevel="0" collapsed="false">
      <c r="A112" s="11" t="s">
        <v>627</v>
      </c>
      <c r="B112" s="11" t="s">
        <v>307</v>
      </c>
      <c r="C112" s="12" t="s">
        <v>201</v>
      </c>
      <c r="D112" s="12" t="s">
        <v>628</v>
      </c>
      <c r="E112" s="12" t="s">
        <v>629</v>
      </c>
      <c r="F112" s="12" t="s">
        <v>630</v>
      </c>
      <c r="G112" s="11" t="s">
        <v>157</v>
      </c>
      <c r="H112" s="11" t="s">
        <v>123</v>
      </c>
      <c r="I112" s="11" t="n">
        <v>2</v>
      </c>
      <c r="J112" s="11" t="n">
        <v>4</v>
      </c>
      <c r="K112" s="11" t="s">
        <v>86</v>
      </c>
      <c r="L112" s="11" t="s">
        <v>49</v>
      </c>
      <c r="M112" s="11" t="s">
        <v>66</v>
      </c>
      <c r="N112" s="11" t="n">
        <v>2</v>
      </c>
      <c r="O112" s="11" t="s">
        <v>200</v>
      </c>
      <c r="P112" s="13" t="s">
        <v>451</v>
      </c>
      <c r="Q112" s="12" t="s">
        <v>631</v>
      </c>
    </row>
    <row r="113" customFormat="false" ht="45.75" hidden="false" customHeight="true" outlineLevel="0" collapsed="false">
      <c r="A113" s="11" t="s">
        <v>546</v>
      </c>
      <c r="B113" s="11" t="s">
        <v>307</v>
      </c>
      <c r="C113" s="12" t="s">
        <v>201</v>
      </c>
      <c r="D113" s="12" t="s">
        <v>632</v>
      </c>
      <c r="E113" s="12" t="s">
        <v>633</v>
      </c>
      <c r="F113" s="12" t="s">
        <v>634</v>
      </c>
      <c r="G113" s="11" t="s">
        <v>46</v>
      </c>
      <c r="H113" s="11" t="s">
        <v>123</v>
      </c>
      <c r="I113" s="11" t="n">
        <v>2</v>
      </c>
      <c r="J113" s="11" t="n">
        <v>3</v>
      </c>
      <c r="K113" s="11" t="s">
        <v>48</v>
      </c>
      <c r="L113" s="11" t="s">
        <v>59</v>
      </c>
      <c r="M113" s="11" t="s">
        <v>50</v>
      </c>
      <c r="N113" s="11" t="n">
        <v>3</v>
      </c>
      <c r="O113" s="11" t="s">
        <v>635</v>
      </c>
      <c r="P113" s="13" t="s">
        <v>451</v>
      </c>
      <c r="Q113" s="12" t="s">
        <v>636</v>
      </c>
    </row>
    <row r="114" customFormat="false" ht="45.75" hidden="false" customHeight="true" outlineLevel="0" collapsed="false">
      <c r="A114" s="11" t="s">
        <v>637</v>
      </c>
      <c r="B114" s="11" t="s">
        <v>307</v>
      </c>
      <c r="C114" s="12" t="s">
        <v>201</v>
      </c>
      <c r="D114" s="12" t="s">
        <v>638</v>
      </c>
      <c r="E114" s="12" t="s">
        <v>639</v>
      </c>
      <c r="F114" s="12" t="s">
        <v>640</v>
      </c>
      <c r="G114" s="11" t="s">
        <v>58</v>
      </c>
      <c r="H114" s="11" t="s">
        <v>205</v>
      </c>
      <c r="I114" s="11" t="n">
        <v>2</v>
      </c>
      <c r="J114" s="11" t="n">
        <v>4</v>
      </c>
      <c r="K114" s="11" t="s">
        <v>86</v>
      </c>
      <c r="L114" s="11" t="s">
        <v>59</v>
      </c>
      <c r="M114" s="11" t="s">
        <v>50</v>
      </c>
      <c r="N114" s="11" t="n">
        <v>2</v>
      </c>
      <c r="O114" s="11" t="s">
        <v>257</v>
      </c>
      <c r="P114" s="13" t="s">
        <v>451</v>
      </c>
      <c r="Q114" s="12" t="s">
        <v>641</v>
      </c>
    </row>
    <row r="115" customFormat="false" ht="45.75" hidden="false" customHeight="true" outlineLevel="0" collapsed="false">
      <c r="A115" s="11" t="s">
        <v>472</v>
      </c>
      <c r="B115" s="11" t="s">
        <v>307</v>
      </c>
      <c r="C115" s="12" t="s">
        <v>119</v>
      </c>
      <c r="D115" s="12" t="s">
        <v>642</v>
      </c>
      <c r="E115" s="12" t="s">
        <v>643</v>
      </c>
      <c r="F115" s="12" t="s">
        <v>644</v>
      </c>
      <c r="G115" s="11" t="s">
        <v>46</v>
      </c>
      <c r="H115" s="11" t="s">
        <v>123</v>
      </c>
      <c r="I115" s="11" t="n">
        <v>2</v>
      </c>
      <c r="J115" s="11" t="n">
        <v>4</v>
      </c>
      <c r="K115" s="11" t="s">
        <v>86</v>
      </c>
      <c r="L115" s="11" t="s">
        <v>59</v>
      </c>
      <c r="M115" s="11" t="s">
        <v>50</v>
      </c>
      <c r="N115" s="11" t="n">
        <v>3</v>
      </c>
      <c r="O115" s="11" t="s">
        <v>479</v>
      </c>
      <c r="P115" s="13" t="s">
        <v>451</v>
      </c>
      <c r="Q115" s="12" t="s">
        <v>645</v>
      </c>
    </row>
    <row r="116" customFormat="false" ht="45.75" hidden="false" customHeight="true" outlineLevel="0" collapsed="false">
      <c r="A116" s="11" t="s">
        <v>646</v>
      </c>
      <c r="B116" s="11" t="s">
        <v>307</v>
      </c>
      <c r="C116" s="12" t="s">
        <v>119</v>
      </c>
      <c r="D116" s="12" t="s">
        <v>647</v>
      </c>
      <c r="E116" s="12" t="s">
        <v>648</v>
      </c>
      <c r="F116" s="12" t="s">
        <v>649</v>
      </c>
      <c r="G116" s="11" t="s">
        <v>157</v>
      </c>
      <c r="H116" s="11" t="s">
        <v>123</v>
      </c>
      <c r="I116" s="11" t="n">
        <v>3</v>
      </c>
      <c r="J116" s="11" t="n">
        <v>3</v>
      </c>
      <c r="K116" s="11" t="s">
        <v>86</v>
      </c>
      <c r="L116" s="11" t="s">
        <v>49</v>
      </c>
      <c r="M116" s="11" t="s">
        <v>50</v>
      </c>
      <c r="N116" s="11" t="n">
        <v>3</v>
      </c>
      <c r="O116" s="11" t="s">
        <v>650</v>
      </c>
      <c r="P116" s="13" t="s">
        <v>451</v>
      </c>
      <c r="Q116" s="12" t="s">
        <v>651</v>
      </c>
    </row>
    <row r="117" customFormat="false" ht="45.75" hidden="false" customHeight="true" outlineLevel="0" collapsed="false">
      <c r="A117" s="11" t="s">
        <v>523</v>
      </c>
      <c r="B117" s="11" t="s">
        <v>307</v>
      </c>
      <c r="C117" s="12" t="s">
        <v>119</v>
      </c>
      <c r="D117" s="12" t="s">
        <v>652</v>
      </c>
      <c r="E117" s="12" t="s">
        <v>653</v>
      </c>
      <c r="F117" s="12" t="s">
        <v>654</v>
      </c>
      <c r="G117" s="11" t="s">
        <v>157</v>
      </c>
      <c r="H117" s="11" t="s">
        <v>545</v>
      </c>
      <c r="I117" s="11" t="n">
        <v>2</v>
      </c>
      <c r="J117" s="11" t="n">
        <v>4</v>
      </c>
      <c r="K117" s="11" t="s">
        <v>86</v>
      </c>
      <c r="L117" s="11" t="s">
        <v>49</v>
      </c>
      <c r="M117" s="11" t="s">
        <v>50</v>
      </c>
      <c r="N117" s="11" t="n">
        <v>2</v>
      </c>
      <c r="O117" s="11" t="s">
        <v>106</v>
      </c>
      <c r="P117" s="13" t="s">
        <v>451</v>
      </c>
      <c r="Q117" s="12" t="s">
        <v>655</v>
      </c>
    </row>
    <row r="118" customFormat="false" ht="45.75" hidden="false" customHeight="true" outlineLevel="0" collapsed="false">
      <c r="A118" s="11" t="s">
        <v>145</v>
      </c>
      <c r="B118" s="11" t="s">
        <v>307</v>
      </c>
      <c r="C118" s="12" t="s">
        <v>119</v>
      </c>
      <c r="D118" s="12" t="s">
        <v>656</v>
      </c>
      <c r="E118" s="12" t="s">
        <v>657</v>
      </c>
      <c r="F118" s="12" t="s">
        <v>658</v>
      </c>
      <c r="G118" s="11" t="s">
        <v>46</v>
      </c>
      <c r="H118" s="11" t="s">
        <v>545</v>
      </c>
      <c r="I118" s="11" t="n">
        <v>2</v>
      </c>
      <c r="J118" s="11" t="n">
        <v>4</v>
      </c>
      <c r="K118" s="11" t="s">
        <v>86</v>
      </c>
      <c r="L118" s="11" t="s">
        <v>49</v>
      </c>
      <c r="M118" s="11" t="s">
        <v>50</v>
      </c>
      <c r="N118" s="11" t="n">
        <v>2</v>
      </c>
      <c r="O118" s="11" t="s">
        <v>141</v>
      </c>
      <c r="P118" s="13" t="s">
        <v>451</v>
      </c>
      <c r="Q118" s="12" t="s">
        <v>659</v>
      </c>
    </row>
    <row r="119" customFormat="false" ht="45.75" hidden="false" customHeight="true" outlineLevel="0" collapsed="false">
      <c r="A119" s="11" t="s">
        <v>660</v>
      </c>
      <c r="B119" s="11" t="s">
        <v>307</v>
      </c>
      <c r="C119" s="12" t="s">
        <v>119</v>
      </c>
      <c r="D119" s="12" t="s">
        <v>661</v>
      </c>
      <c r="E119" s="12" t="s">
        <v>662</v>
      </c>
      <c r="F119" s="12" t="s">
        <v>663</v>
      </c>
      <c r="G119" s="11" t="s">
        <v>58</v>
      </c>
      <c r="H119" s="11" t="s">
        <v>123</v>
      </c>
      <c r="I119" s="11" t="n">
        <v>3</v>
      </c>
      <c r="J119" s="11" t="n">
        <v>3</v>
      </c>
      <c r="K119" s="11" t="s">
        <v>98</v>
      </c>
      <c r="L119" s="11" t="s">
        <v>59</v>
      </c>
      <c r="M119" s="11" t="s">
        <v>66</v>
      </c>
      <c r="N119" s="11" t="n">
        <v>2</v>
      </c>
      <c r="O119" s="11" t="s">
        <v>62</v>
      </c>
      <c r="P119" s="13" t="s">
        <v>451</v>
      </c>
      <c r="Q119" s="12" t="s">
        <v>664</v>
      </c>
    </row>
    <row r="120" customFormat="false" ht="45.75" hidden="false" customHeight="true" outlineLevel="0" collapsed="false">
      <c r="A120" s="14" t="s">
        <v>665</v>
      </c>
      <c r="B120" s="14" t="s">
        <v>41</v>
      </c>
      <c r="C120" s="15" t="s">
        <v>42</v>
      </c>
      <c r="D120" s="15" t="s">
        <v>666</v>
      </c>
      <c r="E120" s="15" t="s">
        <v>667</v>
      </c>
      <c r="F120" s="15" t="s">
        <v>668</v>
      </c>
      <c r="G120" s="14" t="s">
        <v>79</v>
      </c>
      <c r="H120" s="14" t="s">
        <v>47</v>
      </c>
      <c r="I120" s="14" t="n">
        <v>4</v>
      </c>
      <c r="J120" s="14" t="n">
        <v>3</v>
      </c>
      <c r="K120" s="14" t="s">
        <v>48</v>
      </c>
      <c r="L120" s="14" t="s">
        <v>49</v>
      </c>
      <c r="M120" s="14" t="s">
        <v>50</v>
      </c>
      <c r="N120" s="14" t="n">
        <v>2</v>
      </c>
      <c r="O120" s="14" t="s">
        <v>51</v>
      </c>
      <c r="P120" s="16" t="s">
        <v>669</v>
      </c>
      <c r="Q120" s="15" t="s">
        <v>670</v>
      </c>
    </row>
    <row r="121" customFormat="false" ht="45.75" hidden="false" customHeight="true" outlineLevel="0" collapsed="false">
      <c r="A121" s="14" t="s">
        <v>671</v>
      </c>
      <c r="B121" s="14" t="s">
        <v>41</v>
      </c>
      <c r="C121" s="15" t="s">
        <v>42</v>
      </c>
      <c r="D121" s="15" t="s">
        <v>672</v>
      </c>
      <c r="E121" s="15" t="s">
        <v>673</v>
      </c>
      <c r="F121" s="15" t="s">
        <v>674</v>
      </c>
      <c r="G121" s="14" t="s">
        <v>58</v>
      </c>
      <c r="H121" s="14" t="s">
        <v>47</v>
      </c>
      <c r="I121" s="14" t="n">
        <v>3</v>
      </c>
      <c r="J121" s="14" t="n">
        <v>3</v>
      </c>
      <c r="K121" s="14" t="s">
        <v>48</v>
      </c>
      <c r="L121" s="14" t="s">
        <v>49</v>
      </c>
      <c r="M121" s="14" t="s">
        <v>66</v>
      </c>
      <c r="N121" s="14" t="n">
        <v>3</v>
      </c>
      <c r="O121" s="14" t="s">
        <v>110</v>
      </c>
      <c r="P121" s="16" t="s">
        <v>669</v>
      </c>
      <c r="Q121" s="15" t="s">
        <v>675</v>
      </c>
    </row>
    <row r="122" customFormat="false" ht="45.75" hidden="false" customHeight="true" outlineLevel="0" collapsed="false">
      <c r="A122" s="14" t="s">
        <v>676</v>
      </c>
      <c r="B122" s="14" t="s">
        <v>41</v>
      </c>
      <c r="C122" s="15" t="s">
        <v>119</v>
      </c>
      <c r="D122" s="15" t="s">
        <v>677</v>
      </c>
      <c r="E122" s="15" t="s">
        <v>678</v>
      </c>
      <c r="F122" s="15" t="s">
        <v>679</v>
      </c>
      <c r="G122" s="14" t="s">
        <v>79</v>
      </c>
      <c r="H122" s="14" t="s">
        <v>47</v>
      </c>
      <c r="I122" s="14" t="n">
        <v>2</v>
      </c>
      <c r="J122" s="14" t="n">
        <v>3</v>
      </c>
      <c r="K122" s="14" t="s">
        <v>98</v>
      </c>
      <c r="L122" s="14" t="s">
        <v>59</v>
      </c>
      <c r="M122" s="14" t="s">
        <v>66</v>
      </c>
      <c r="N122" s="14" t="n">
        <v>3</v>
      </c>
      <c r="O122" s="14" t="s">
        <v>352</v>
      </c>
      <c r="P122" s="16" t="s">
        <v>669</v>
      </c>
      <c r="Q122" s="15" t="s">
        <v>680</v>
      </c>
    </row>
    <row r="123" customFormat="false" ht="45.75" hidden="false" customHeight="true" outlineLevel="0" collapsed="false">
      <c r="A123" s="14" t="s">
        <v>650</v>
      </c>
      <c r="B123" s="14" t="s">
        <v>41</v>
      </c>
      <c r="C123" s="15" t="s">
        <v>119</v>
      </c>
      <c r="D123" s="15" t="s">
        <v>681</v>
      </c>
      <c r="E123" s="15" t="s">
        <v>682</v>
      </c>
      <c r="F123" s="15" t="s">
        <v>683</v>
      </c>
      <c r="G123" s="14" t="s">
        <v>46</v>
      </c>
      <c r="H123" s="14" t="s">
        <v>123</v>
      </c>
      <c r="I123" s="14" t="n">
        <v>3</v>
      </c>
      <c r="J123" s="14" t="n">
        <v>2</v>
      </c>
      <c r="K123" s="14" t="s">
        <v>86</v>
      </c>
      <c r="L123" s="14" t="s">
        <v>49</v>
      </c>
      <c r="M123" s="14" t="s">
        <v>483</v>
      </c>
      <c r="N123" s="14" t="n">
        <v>3</v>
      </c>
      <c r="O123" s="14" t="s">
        <v>646</v>
      </c>
      <c r="P123" s="16" t="s">
        <v>669</v>
      </c>
      <c r="Q123" s="15" t="s">
        <v>684</v>
      </c>
    </row>
    <row r="124" customFormat="false" ht="45.75" hidden="false" customHeight="true" outlineLevel="0" collapsed="false">
      <c r="A124" s="14" t="s">
        <v>685</v>
      </c>
      <c r="B124" s="14" t="s">
        <v>41</v>
      </c>
      <c r="C124" s="15" t="s">
        <v>119</v>
      </c>
      <c r="D124" s="15" t="s">
        <v>686</v>
      </c>
      <c r="E124" s="15" t="s">
        <v>687</v>
      </c>
      <c r="F124" s="15" t="s">
        <v>688</v>
      </c>
      <c r="G124" s="14" t="s">
        <v>79</v>
      </c>
      <c r="H124" s="14" t="s">
        <v>123</v>
      </c>
      <c r="I124" s="14" t="n">
        <v>4</v>
      </c>
      <c r="J124" s="14" t="n">
        <v>2</v>
      </c>
      <c r="K124" s="14" t="s">
        <v>98</v>
      </c>
      <c r="L124" s="14" t="s">
        <v>49</v>
      </c>
      <c r="M124" s="14" t="s">
        <v>483</v>
      </c>
      <c r="N124" s="14" t="n">
        <v>3</v>
      </c>
      <c r="O124" s="14" t="s">
        <v>129</v>
      </c>
      <c r="P124" s="16" t="s">
        <v>669</v>
      </c>
      <c r="Q124" s="15" t="s">
        <v>689</v>
      </c>
    </row>
    <row r="125" customFormat="false" ht="45.75" hidden="false" customHeight="true" outlineLevel="0" collapsed="false">
      <c r="A125" s="14" t="s">
        <v>690</v>
      </c>
      <c r="B125" s="14" t="s">
        <v>41</v>
      </c>
      <c r="C125" s="15" t="s">
        <v>201</v>
      </c>
      <c r="D125" s="15" t="s">
        <v>691</v>
      </c>
      <c r="E125" s="15" t="s">
        <v>692</v>
      </c>
      <c r="F125" s="15" t="s">
        <v>693</v>
      </c>
      <c r="G125" s="14" t="s">
        <v>157</v>
      </c>
      <c r="H125" s="14" t="s">
        <v>545</v>
      </c>
      <c r="I125" s="14" t="n">
        <v>1</v>
      </c>
      <c r="J125" s="14" t="n">
        <v>3</v>
      </c>
      <c r="K125" s="14" t="s">
        <v>86</v>
      </c>
      <c r="L125" s="14" t="s">
        <v>170</v>
      </c>
      <c r="M125" s="14" t="s">
        <v>66</v>
      </c>
      <c r="N125" s="14" t="n">
        <v>3</v>
      </c>
      <c r="O125" s="14" t="s">
        <v>164</v>
      </c>
      <c r="P125" s="16" t="s">
        <v>669</v>
      </c>
      <c r="Q125" s="15" t="s">
        <v>694</v>
      </c>
    </row>
    <row r="126" customFormat="false" ht="45.75" hidden="false" customHeight="true" outlineLevel="0" collapsed="false">
      <c r="A126" s="14" t="s">
        <v>635</v>
      </c>
      <c r="B126" s="14" t="s">
        <v>41</v>
      </c>
      <c r="C126" s="15" t="s">
        <v>201</v>
      </c>
      <c r="D126" s="15" t="s">
        <v>695</v>
      </c>
      <c r="E126" s="15" t="s">
        <v>696</v>
      </c>
      <c r="F126" s="15" t="s">
        <v>697</v>
      </c>
      <c r="G126" s="14" t="s">
        <v>58</v>
      </c>
      <c r="H126" s="14" t="s">
        <v>545</v>
      </c>
      <c r="I126" s="14" t="n">
        <v>2</v>
      </c>
      <c r="J126" s="14" t="n">
        <v>3</v>
      </c>
      <c r="K126" s="14" t="s">
        <v>48</v>
      </c>
      <c r="L126" s="14" t="s">
        <v>59</v>
      </c>
      <c r="M126" s="14" t="s">
        <v>66</v>
      </c>
      <c r="N126" s="14" t="n">
        <v>2</v>
      </c>
      <c r="O126" s="14" t="s">
        <v>546</v>
      </c>
      <c r="P126" s="16" t="s">
        <v>669</v>
      </c>
      <c r="Q126" s="15" t="s">
        <v>698</v>
      </c>
    </row>
    <row r="127" customFormat="false" ht="45.75" hidden="false" customHeight="true" outlineLevel="0" collapsed="false">
      <c r="A127" s="14" t="s">
        <v>699</v>
      </c>
      <c r="B127" s="14" t="s">
        <v>41</v>
      </c>
      <c r="C127" s="15" t="s">
        <v>264</v>
      </c>
      <c r="D127" s="15" t="s">
        <v>700</v>
      </c>
      <c r="E127" s="15" t="s">
        <v>701</v>
      </c>
      <c r="F127" s="15" t="s">
        <v>702</v>
      </c>
      <c r="G127" s="14" t="s">
        <v>58</v>
      </c>
      <c r="H127" s="14" t="s">
        <v>47</v>
      </c>
      <c r="I127" s="14" t="n">
        <v>4</v>
      </c>
      <c r="J127" s="14" t="n">
        <v>3</v>
      </c>
      <c r="K127" s="14" t="s">
        <v>98</v>
      </c>
      <c r="L127" s="14" t="s">
        <v>49</v>
      </c>
      <c r="M127" s="14" t="s">
        <v>66</v>
      </c>
      <c r="N127" s="14" t="n">
        <v>3</v>
      </c>
      <c r="O127" s="14" t="s">
        <v>67</v>
      </c>
      <c r="P127" s="16" t="s">
        <v>669</v>
      </c>
      <c r="Q127" s="15" t="s">
        <v>703</v>
      </c>
    </row>
    <row r="128" customFormat="false" ht="45.75" hidden="false" customHeight="true" outlineLevel="0" collapsed="false">
      <c r="A128" s="14" t="s">
        <v>704</v>
      </c>
      <c r="B128" s="14" t="s">
        <v>276</v>
      </c>
      <c r="C128" s="15" t="s">
        <v>276</v>
      </c>
      <c r="D128" s="15" t="s">
        <v>705</v>
      </c>
      <c r="E128" s="15" t="s">
        <v>706</v>
      </c>
      <c r="F128" s="15" t="s">
        <v>707</v>
      </c>
      <c r="G128" s="14" t="s">
        <v>157</v>
      </c>
      <c r="H128" s="14" t="s">
        <v>205</v>
      </c>
      <c r="I128" s="14" t="n">
        <v>3</v>
      </c>
      <c r="J128" s="14" t="n">
        <v>1</v>
      </c>
      <c r="K128" s="14" t="s">
        <v>86</v>
      </c>
      <c r="L128" s="14" t="s">
        <v>49</v>
      </c>
      <c r="M128" s="14" t="s">
        <v>50</v>
      </c>
      <c r="N128" s="14" t="n">
        <v>1</v>
      </c>
      <c r="O128" s="14" t="s">
        <v>270</v>
      </c>
      <c r="P128" s="16" t="s">
        <v>669</v>
      </c>
      <c r="Q128" s="15" t="s">
        <v>708</v>
      </c>
    </row>
    <row r="129" customFormat="false" ht="45.75" hidden="false" customHeight="true" outlineLevel="0" collapsed="false">
      <c r="A129" s="14" t="s">
        <v>709</v>
      </c>
      <c r="B129" s="14" t="s">
        <v>276</v>
      </c>
      <c r="C129" s="15" t="s">
        <v>276</v>
      </c>
      <c r="D129" s="15" t="s">
        <v>710</v>
      </c>
      <c r="E129" s="15" t="s">
        <v>711</v>
      </c>
      <c r="F129" s="15" t="s">
        <v>712</v>
      </c>
      <c r="G129" s="14" t="s">
        <v>46</v>
      </c>
      <c r="H129" s="14" t="s">
        <v>205</v>
      </c>
      <c r="I129" s="14" t="n">
        <v>1</v>
      </c>
      <c r="J129" s="14" t="n">
        <v>1</v>
      </c>
      <c r="K129" s="14" t="s">
        <v>48</v>
      </c>
      <c r="L129" s="14" t="s">
        <v>49</v>
      </c>
      <c r="M129" s="14" t="s">
        <v>66</v>
      </c>
      <c r="N129" s="14" t="n">
        <v>2</v>
      </c>
      <c r="O129" s="14" t="s">
        <v>509</v>
      </c>
      <c r="P129" s="16" t="s">
        <v>669</v>
      </c>
      <c r="Q129" s="15" t="s">
        <v>713</v>
      </c>
    </row>
    <row r="130" customFormat="false" ht="45.75" hidden="false" customHeight="true" outlineLevel="0" collapsed="false">
      <c r="A130" s="14" t="s">
        <v>714</v>
      </c>
      <c r="B130" s="14" t="s">
        <v>307</v>
      </c>
      <c r="C130" s="15" t="s">
        <v>308</v>
      </c>
      <c r="D130" s="15" t="s">
        <v>715</v>
      </c>
      <c r="E130" s="15" t="s">
        <v>716</v>
      </c>
      <c r="F130" s="15" t="s">
        <v>717</v>
      </c>
      <c r="G130" s="14" t="s">
        <v>157</v>
      </c>
      <c r="H130" s="14" t="s">
        <v>205</v>
      </c>
      <c r="I130" s="14" t="n">
        <v>1</v>
      </c>
      <c r="J130" s="14" t="n">
        <v>3</v>
      </c>
      <c r="K130" s="14" t="s">
        <v>48</v>
      </c>
      <c r="L130" s="14" t="s">
        <v>49</v>
      </c>
      <c r="M130" s="14" t="s">
        <v>50</v>
      </c>
      <c r="N130" s="14" t="n">
        <v>1</v>
      </c>
      <c r="O130" s="14" t="s">
        <v>263</v>
      </c>
      <c r="P130" s="16" t="s">
        <v>669</v>
      </c>
      <c r="Q130" s="15" t="s">
        <v>718</v>
      </c>
    </row>
    <row r="131" customFormat="false" ht="45.75" hidden="false" customHeight="true" outlineLevel="0" collapsed="false">
      <c r="A131" s="14" t="s">
        <v>719</v>
      </c>
      <c r="B131" s="14" t="s">
        <v>307</v>
      </c>
      <c r="C131" s="15" t="s">
        <v>308</v>
      </c>
      <c r="D131" s="15" t="s">
        <v>720</v>
      </c>
      <c r="E131" s="15" t="s">
        <v>721</v>
      </c>
      <c r="F131" s="15" t="s">
        <v>722</v>
      </c>
      <c r="G131" s="14" t="s">
        <v>157</v>
      </c>
      <c r="H131" s="14" t="s">
        <v>205</v>
      </c>
      <c r="I131" s="14" t="n">
        <v>1</v>
      </c>
      <c r="J131" s="14" t="n">
        <v>3</v>
      </c>
      <c r="K131" s="14" t="s">
        <v>48</v>
      </c>
      <c r="L131" s="14" t="s">
        <v>49</v>
      </c>
      <c r="M131" s="14" t="s">
        <v>66</v>
      </c>
      <c r="N131" s="14" t="n">
        <v>2</v>
      </c>
      <c r="O131" s="14" t="s">
        <v>208</v>
      </c>
      <c r="P131" s="16" t="s">
        <v>669</v>
      </c>
      <c r="Q131" s="15" t="s">
        <v>723</v>
      </c>
    </row>
    <row r="132" customFormat="false" ht="45.75" hidden="false" customHeight="true" outlineLevel="0" collapsed="false">
      <c r="A132" s="14" t="s">
        <v>724</v>
      </c>
      <c r="B132" s="14" t="s">
        <v>307</v>
      </c>
      <c r="C132" s="15" t="s">
        <v>347</v>
      </c>
      <c r="D132" s="15" t="s">
        <v>725</v>
      </c>
      <c r="E132" s="15" t="s">
        <v>726</v>
      </c>
      <c r="F132" s="15" t="s">
        <v>727</v>
      </c>
      <c r="G132" s="14" t="s">
        <v>79</v>
      </c>
      <c r="H132" s="14" t="s">
        <v>123</v>
      </c>
      <c r="I132" s="14" t="n">
        <v>3</v>
      </c>
      <c r="J132" s="14" t="n">
        <v>4</v>
      </c>
      <c r="K132" s="14" t="s">
        <v>48</v>
      </c>
      <c r="L132" s="14" t="s">
        <v>59</v>
      </c>
      <c r="M132" s="14" t="s">
        <v>50</v>
      </c>
      <c r="N132" s="14" t="n">
        <v>3</v>
      </c>
      <c r="O132" s="14" t="s">
        <v>257</v>
      </c>
      <c r="P132" s="16" t="s">
        <v>669</v>
      </c>
      <c r="Q132" s="15" t="s">
        <v>728</v>
      </c>
    </row>
    <row r="133" customFormat="false" ht="45.75" hidden="false" customHeight="true" outlineLevel="0" collapsed="false">
      <c r="A133" s="14" t="s">
        <v>729</v>
      </c>
      <c r="B133" s="14" t="s">
        <v>307</v>
      </c>
      <c r="C133" s="15" t="s">
        <v>347</v>
      </c>
      <c r="D133" s="15" t="s">
        <v>730</v>
      </c>
      <c r="E133" s="15" t="s">
        <v>731</v>
      </c>
      <c r="F133" s="15" t="s">
        <v>732</v>
      </c>
      <c r="G133" s="14" t="s">
        <v>46</v>
      </c>
      <c r="H133" s="14" t="s">
        <v>123</v>
      </c>
      <c r="I133" s="14" t="n">
        <v>3</v>
      </c>
      <c r="J133" s="14" t="n">
        <v>4</v>
      </c>
      <c r="K133" s="14" t="s">
        <v>48</v>
      </c>
      <c r="L133" s="14" t="s">
        <v>59</v>
      </c>
      <c r="M133" s="14" t="s">
        <v>50</v>
      </c>
      <c r="N133" s="14" t="n">
        <v>3</v>
      </c>
      <c r="O133" s="14" t="s">
        <v>257</v>
      </c>
      <c r="P133" s="16" t="s">
        <v>669</v>
      </c>
      <c r="Q133" s="15" t="s">
        <v>733</v>
      </c>
    </row>
    <row r="134" customFormat="false" ht="45.75" hidden="false" customHeight="true" outlineLevel="0" collapsed="false">
      <c r="A134" s="14" t="s">
        <v>734</v>
      </c>
      <c r="B134" s="14" t="s">
        <v>307</v>
      </c>
      <c r="C134" s="15" t="s">
        <v>201</v>
      </c>
      <c r="D134" s="15" t="s">
        <v>735</v>
      </c>
      <c r="E134" s="15" t="s">
        <v>736</v>
      </c>
      <c r="F134" s="15" t="s">
        <v>737</v>
      </c>
      <c r="G134" s="14" t="s">
        <v>58</v>
      </c>
      <c r="H134" s="14" t="s">
        <v>123</v>
      </c>
      <c r="I134" s="14" t="n">
        <v>3</v>
      </c>
      <c r="J134" s="14" t="n">
        <v>2</v>
      </c>
      <c r="K134" s="14" t="s">
        <v>48</v>
      </c>
      <c r="L134" s="14" t="s">
        <v>49</v>
      </c>
      <c r="M134" s="14" t="s">
        <v>66</v>
      </c>
      <c r="N134" s="14" t="n">
        <v>2</v>
      </c>
      <c r="O134" s="14" t="s">
        <v>112</v>
      </c>
      <c r="P134" s="16" t="s">
        <v>669</v>
      </c>
      <c r="Q134" s="15" t="s">
        <v>738</v>
      </c>
    </row>
    <row r="135" customFormat="false" ht="45.75" hidden="false" customHeight="true" outlineLevel="0" collapsed="false">
      <c r="A135" s="14" t="s">
        <v>739</v>
      </c>
      <c r="B135" s="14" t="s">
        <v>307</v>
      </c>
      <c r="C135" s="15" t="s">
        <v>201</v>
      </c>
      <c r="D135" s="15" t="s">
        <v>740</v>
      </c>
      <c r="E135" s="15" t="s">
        <v>741</v>
      </c>
      <c r="F135" s="15" t="s">
        <v>742</v>
      </c>
      <c r="G135" s="14" t="s">
        <v>79</v>
      </c>
      <c r="H135" s="14" t="s">
        <v>123</v>
      </c>
      <c r="I135" s="14" t="n">
        <v>3</v>
      </c>
      <c r="J135" s="14" t="n">
        <v>2</v>
      </c>
      <c r="K135" s="14" t="s">
        <v>86</v>
      </c>
      <c r="L135" s="14" t="s">
        <v>59</v>
      </c>
      <c r="M135" s="14" t="s">
        <v>50</v>
      </c>
      <c r="N135" s="14" t="n">
        <v>3</v>
      </c>
      <c r="O135" s="14" t="s">
        <v>635</v>
      </c>
      <c r="P135" s="16" t="s">
        <v>669</v>
      </c>
      <c r="Q135" s="15" t="s">
        <v>743</v>
      </c>
    </row>
  </sheetData>
  <autoFilter ref="A1:Q135"/>
  <dataValidations count="1">
    <dataValidation allowBlank="true" errorStyle="stop" operator="between" showDropDown="false" showErrorMessage="false" showInputMessage="false" sqref="P2:P135" type="list">
      <formula1>"Retenu,À tester,Écarté"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40"/>
    <col collapsed="false" customWidth="true" hidden="false" outlineLevel="0" max="4" min="4" style="0" width="18"/>
    <col collapsed="false" customWidth="true" hidden="false" outlineLevel="0" max="7" min="5" style="0" width="8"/>
    <col collapsed="false" customWidth="true" hidden="false" outlineLevel="0" max="8" min="8" style="0" width="9"/>
    <col collapsed="false" customWidth="true" hidden="false" outlineLevel="0" max="9" min="9" style="0" width="74"/>
  </cols>
  <sheetData>
    <row r="2" customFormat="false" ht="19.7" hidden="false" customHeight="false" outlineLevel="0" collapsed="false">
      <c r="B2" s="1" t="s">
        <v>744</v>
      </c>
    </row>
    <row r="3" customFormat="false" ht="15" hidden="false" customHeight="false" outlineLevel="0" collapsed="false">
      <c r="B3" s="17" t="s">
        <v>745</v>
      </c>
    </row>
    <row r="5" customFormat="false" ht="15" hidden="false" customHeight="false" outlineLevel="0" collapsed="false">
      <c r="B5" s="4" t="s">
        <v>746</v>
      </c>
    </row>
    <row r="6" customFormat="false" ht="15" hidden="false" customHeight="false" outlineLevel="0" collapsed="false">
      <c r="B6" s="18" t="s">
        <v>747</v>
      </c>
    </row>
    <row r="7" customFormat="false" ht="15" hidden="false" customHeight="false" outlineLevel="0" collapsed="false">
      <c r="B7" s="19" t="s">
        <v>23</v>
      </c>
      <c r="C7" s="19" t="s">
        <v>26</v>
      </c>
      <c r="D7" s="19" t="s">
        <v>29</v>
      </c>
      <c r="E7" s="19" t="s">
        <v>748</v>
      </c>
      <c r="F7" s="19" t="s">
        <v>749</v>
      </c>
      <c r="G7" s="19" t="s">
        <v>750</v>
      </c>
      <c r="H7" s="19" t="s">
        <v>751</v>
      </c>
      <c r="I7" s="19" t="s">
        <v>752</v>
      </c>
    </row>
    <row r="8" customFormat="false" ht="30" hidden="false" customHeight="true" outlineLevel="0" collapsed="false">
      <c r="B8" s="20" t="s">
        <v>40</v>
      </c>
      <c r="C8" s="9" t="s">
        <v>43</v>
      </c>
      <c r="D8" s="20" t="s">
        <v>46</v>
      </c>
      <c r="E8" s="20" t="n">
        <v>4</v>
      </c>
      <c r="F8" s="20" t="n">
        <v>4</v>
      </c>
      <c r="G8" s="20" t="n">
        <v>1</v>
      </c>
      <c r="H8" s="20" t="s">
        <v>51</v>
      </c>
      <c r="I8" s="9" t="s">
        <v>753</v>
      </c>
    </row>
    <row r="9" customFormat="false" ht="30" hidden="false" customHeight="true" outlineLevel="0" collapsed="false">
      <c r="B9" s="20" t="s">
        <v>54</v>
      </c>
      <c r="C9" s="9" t="s">
        <v>55</v>
      </c>
      <c r="D9" s="20" t="s">
        <v>58</v>
      </c>
      <c r="E9" s="20" t="n">
        <v>3</v>
      </c>
      <c r="F9" s="20" t="n">
        <v>4</v>
      </c>
      <c r="G9" s="20" t="n">
        <v>2</v>
      </c>
      <c r="H9" s="20" t="s">
        <v>60</v>
      </c>
      <c r="I9" s="9" t="s">
        <v>754</v>
      </c>
    </row>
    <row r="10" customFormat="false" ht="30" hidden="false" customHeight="true" outlineLevel="0" collapsed="false">
      <c r="B10" s="20" t="s">
        <v>62</v>
      </c>
      <c r="C10" s="9" t="s">
        <v>63</v>
      </c>
      <c r="D10" s="20" t="s">
        <v>58</v>
      </c>
      <c r="E10" s="20" t="n">
        <v>4</v>
      </c>
      <c r="F10" s="20" t="n">
        <v>3</v>
      </c>
      <c r="G10" s="20" t="n">
        <v>3</v>
      </c>
      <c r="H10" s="20" t="s">
        <v>67</v>
      </c>
      <c r="I10" s="9" t="s">
        <v>755</v>
      </c>
    </row>
    <row r="11" customFormat="false" ht="30" hidden="false" customHeight="true" outlineLevel="0" collapsed="false">
      <c r="B11" s="20" t="s">
        <v>69</v>
      </c>
      <c r="C11" s="9" t="s">
        <v>70</v>
      </c>
      <c r="D11" s="20" t="s">
        <v>58</v>
      </c>
      <c r="E11" s="20" t="n">
        <v>2</v>
      </c>
      <c r="F11" s="20" t="n">
        <v>4</v>
      </c>
      <c r="G11" s="20" t="n">
        <v>1</v>
      </c>
      <c r="H11" s="20" t="s">
        <v>73</v>
      </c>
      <c r="I11" s="9" t="s">
        <v>756</v>
      </c>
    </row>
    <row r="12" customFormat="false" ht="30" hidden="false" customHeight="true" outlineLevel="0" collapsed="false">
      <c r="B12" s="20" t="s">
        <v>75</v>
      </c>
      <c r="C12" s="9" t="s">
        <v>76</v>
      </c>
      <c r="D12" s="20" t="s">
        <v>79</v>
      </c>
      <c r="E12" s="20" t="n">
        <v>4</v>
      </c>
      <c r="F12" s="20" t="n">
        <v>5</v>
      </c>
      <c r="G12" s="20" t="n">
        <v>2</v>
      </c>
      <c r="H12" s="20" t="s">
        <v>80</v>
      </c>
      <c r="I12" s="9" t="s">
        <v>757</v>
      </c>
    </row>
    <row r="13" customFormat="false" ht="30" hidden="false" customHeight="true" outlineLevel="0" collapsed="false">
      <c r="B13" s="20" t="s">
        <v>82</v>
      </c>
      <c r="C13" s="9" t="s">
        <v>83</v>
      </c>
      <c r="D13" s="20" t="s">
        <v>46</v>
      </c>
      <c r="E13" s="20" t="n">
        <v>5</v>
      </c>
      <c r="F13" s="20" t="n">
        <v>5</v>
      </c>
      <c r="G13" s="20" t="n">
        <v>2</v>
      </c>
      <c r="H13" s="20" t="s">
        <v>51</v>
      </c>
      <c r="I13" s="9" t="s">
        <v>758</v>
      </c>
    </row>
    <row r="14" customFormat="false" ht="30" hidden="false" customHeight="true" outlineLevel="0" collapsed="false">
      <c r="B14" s="20" t="s">
        <v>88</v>
      </c>
      <c r="C14" s="9" t="s">
        <v>89</v>
      </c>
      <c r="D14" s="20" t="s">
        <v>58</v>
      </c>
      <c r="E14" s="20" t="n">
        <v>1</v>
      </c>
      <c r="F14" s="20" t="n">
        <v>3</v>
      </c>
      <c r="G14" s="20" t="n">
        <v>1</v>
      </c>
      <c r="H14" s="20" t="s">
        <v>92</v>
      </c>
      <c r="I14" s="9" t="s">
        <v>759</v>
      </c>
    </row>
    <row r="15" customFormat="false" ht="30" hidden="false" customHeight="true" outlineLevel="0" collapsed="false">
      <c r="B15" s="20" t="s">
        <v>94</v>
      </c>
      <c r="C15" s="9" t="s">
        <v>95</v>
      </c>
      <c r="D15" s="20" t="s">
        <v>46</v>
      </c>
      <c r="E15" s="20" t="n">
        <v>2</v>
      </c>
      <c r="F15" s="20" t="n">
        <v>4</v>
      </c>
      <c r="G15" s="20" t="n">
        <v>2</v>
      </c>
      <c r="H15" s="20" t="s">
        <v>60</v>
      </c>
      <c r="I15" s="9" t="s">
        <v>760</v>
      </c>
    </row>
    <row r="16" customFormat="false" ht="30" hidden="false" customHeight="true" outlineLevel="0" collapsed="false">
      <c r="B16" s="20" t="s">
        <v>118</v>
      </c>
      <c r="C16" s="9" t="s">
        <v>120</v>
      </c>
      <c r="D16" s="20" t="s">
        <v>79</v>
      </c>
      <c r="E16" s="20" t="n">
        <v>5</v>
      </c>
      <c r="F16" s="20" t="n">
        <v>5</v>
      </c>
      <c r="G16" s="20" t="n">
        <v>1</v>
      </c>
      <c r="H16" s="20" t="s">
        <v>92</v>
      </c>
      <c r="I16" s="9" t="s">
        <v>761</v>
      </c>
    </row>
    <row r="17" customFormat="false" ht="30" hidden="false" customHeight="true" outlineLevel="0" collapsed="false">
      <c r="B17" s="20" t="s">
        <v>131</v>
      </c>
      <c r="C17" s="9" t="s">
        <v>132</v>
      </c>
      <c r="D17" s="20" t="s">
        <v>58</v>
      </c>
      <c r="E17" s="20" t="n">
        <v>3</v>
      </c>
      <c r="F17" s="20" t="n">
        <v>4</v>
      </c>
      <c r="G17" s="20" t="n">
        <v>2</v>
      </c>
      <c r="H17" s="20" t="s">
        <v>92</v>
      </c>
      <c r="I17" s="9" t="s">
        <v>762</v>
      </c>
    </row>
    <row r="18" customFormat="false" ht="30" hidden="false" customHeight="true" outlineLevel="0" collapsed="false">
      <c r="B18" s="20" t="s">
        <v>136</v>
      </c>
      <c r="C18" s="9" t="s">
        <v>137</v>
      </c>
      <c r="D18" s="20" t="s">
        <v>79</v>
      </c>
      <c r="E18" s="20" t="n">
        <v>5</v>
      </c>
      <c r="F18" s="20" t="n">
        <v>4</v>
      </c>
      <c r="G18" s="20" t="n">
        <v>2</v>
      </c>
      <c r="H18" s="20" t="s">
        <v>92</v>
      </c>
      <c r="I18" s="9" t="s">
        <v>763</v>
      </c>
    </row>
    <row r="19" customFormat="false" ht="30" hidden="false" customHeight="true" outlineLevel="0" collapsed="false">
      <c r="B19" s="20" t="s">
        <v>177</v>
      </c>
      <c r="C19" s="9" t="s">
        <v>179</v>
      </c>
      <c r="D19" s="20" t="s">
        <v>79</v>
      </c>
      <c r="E19" s="20" t="n">
        <v>3</v>
      </c>
      <c r="F19" s="20" t="n">
        <v>2</v>
      </c>
      <c r="G19" s="20" t="n">
        <v>1</v>
      </c>
      <c r="H19" s="20" t="s">
        <v>92</v>
      </c>
      <c r="I19" s="9" t="s">
        <v>764</v>
      </c>
    </row>
    <row r="20" customFormat="false" ht="30" hidden="false" customHeight="true" outlineLevel="0" collapsed="false">
      <c r="B20" s="20" t="s">
        <v>183</v>
      </c>
      <c r="C20" s="9" t="s">
        <v>184</v>
      </c>
      <c r="D20" s="20" t="s">
        <v>58</v>
      </c>
      <c r="E20" s="20" t="n">
        <v>4</v>
      </c>
      <c r="F20" s="20" t="n">
        <v>5</v>
      </c>
      <c r="G20" s="20" t="n">
        <v>1</v>
      </c>
      <c r="H20" s="20" t="s">
        <v>187</v>
      </c>
      <c r="I20" s="9" t="s">
        <v>765</v>
      </c>
    </row>
    <row r="21" customFormat="false" ht="30" hidden="false" customHeight="true" outlineLevel="0" collapsed="false">
      <c r="B21" s="20" t="s">
        <v>195</v>
      </c>
      <c r="C21" s="9" t="s">
        <v>196</v>
      </c>
      <c r="D21" s="20" t="s">
        <v>79</v>
      </c>
      <c r="E21" s="20" t="n">
        <v>5</v>
      </c>
      <c r="F21" s="20" t="n">
        <v>4</v>
      </c>
      <c r="G21" s="20" t="n">
        <v>3</v>
      </c>
      <c r="H21" s="20" t="s">
        <v>193</v>
      </c>
      <c r="I21" s="9" t="s">
        <v>766</v>
      </c>
    </row>
    <row r="23" customFormat="false" ht="15" hidden="false" customHeight="false" outlineLevel="0" collapsed="false">
      <c r="B23" s="4" t="s">
        <v>767</v>
      </c>
    </row>
    <row r="24" customFormat="false" ht="15" hidden="false" customHeight="false" outlineLevel="0" collapsed="false">
      <c r="B24" s="18" t="s">
        <v>768</v>
      </c>
    </row>
    <row r="25" customFormat="false" ht="15" hidden="false" customHeight="false" outlineLevel="0" collapsed="false">
      <c r="B25" s="19" t="s">
        <v>23</v>
      </c>
      <c r="C25" s="19" t="s">
        <v>26</v>
      </c>
      <c r="D25" s="19" t="s">
        <v>29</v>
      </c>
      <c r="E25" s="19" t="s">
        <v>748</v>
      </c>
      <c r="F25" s="19" t="s">
        <v>749</v>
      </c>
      <c r="G25" s="19" t="s">
        <v>750</v>
      </c>
      <c r="H25" s="19" t="s">
        <v>751</v>
      </c>
      <c r="I25" s="19" t="s">
        <v>752</v>
      </c>
    </row>
    <row r="26" customFormat="false" ht="30" hidden="false" customHeight="true" outlineLevel="0" collapsed="false">
      <c r="B26" s="20" t="s">
        <v>125</v>
      </c>
      <c r="C26" s="9" t="s">
        <v>126</v>
      </c>
      <c r="D26" s="20" t="s">
        <v>58</v>
      </c>
      <c r="E26" s="20" t="n">
        <v>5</v>
      </c>
      <c r="F26" s="20" t="n">
        <v>4</v>
      </c>
      <c r="G26" s="20" t="n">
        <v>1</v>
      </c>
      <c r="H26" s="20" t="s">
        <v>129</v>
      </c>
      <c r="I26" s="9" t="s">
        <v>769</v>
      </c>
    </row>
    <row r="27" customFormat="false" ht="30" hidden="false" customHeight="true" outlineLevel="0" collapsed="false">
      <c r="B27" s="20" t="s">
        <v>147</v>
      </c>
      <c r="C27" s="9" t="s">
        <v>148</v>
      </c>
      <c r="D27" s="20" t="s">
        <v>58</v>
      </c>
      <c r="E27" s="20" t="n">
        <v>5</v>
      </c>
      <c r="F27" s="20" t="n">
        <v>4</v>
      </c>
      <c r="G27" s="20" t="n">
        <v>2</v>
      </c>
      <c r="H27" s="20" t="s">
        <v>151</v>
      </c>
      <c r="I27" s="9" t="s">
        <v>770</v>
      </c>
    </row>
    <row r="28" customFormat="false" ht="30" hidden="false" customHeight="true" outlineLevel="0" collapsed="false">
      <c r="B28" s="20" t="s">
        <v>153</v>
      </c>
      <c r="C28" s="9" t="s">
        <v>154</v>
      </c>
      <c r="D28" s="20" t="s">
        <v>157</v>
      </c>
      <c r="E28" s="20" t="n">
        <v>3</v>
      </c>
      <c r="F28" s="20" t="n">
        <v>4</v>
      </c>
      <c r="G28" s="20" t="n">
        <v>1</v>
      </c>
      <c r="H28" s="20" t="s">
        <v>51</v>
      </c>
      <c r="I28" s="9" t="s">
        <v>771</v>
      </c>
    </row>
    <row r="29" customFormat="false" ht="30" hidden="false" customHeight="true" outlineLevel="0" collapsed="false">
      <c r="B29" s="20" t="s">
        <v>234</v>
      </c>
      <c r="C29" s="9" t="s">
        <v>236</v>
      </c>
      <c r="D29" s="20" t="s">
        <v>46</v>
      </c>
      <c r="E29" s="20" t="n">
        <v>3</v>
      </c>
      <c r="F29" s="20" t="n">
        <v>3</v>
      </c>
      <c r="G29" s="20" t="n">
        <v>1</v>
      </c>
      <c r="H29" s="20" t="s">
        <v>232</v>
      </c>
      <c r="I29" s="9" t="s">
        <v>772</v>
      </c>
    </row>
    <row r="30" customFormat="false" ht="30" hidden="false" customHeight="true" outlineLevel="0" collapsed="false">
      <c r="B30" s="20" t="s">
        <v>240</v>
      </c>
      <c r="C30" s="9" t="s">
        <v>241</v>
      </c>
      <c r="D30" s="20" t="s">
        <v>58</v>
      </c>
      <c r="E30" s="20" t="n">
        <v>4</v>
      </c>
      <c r="F30" s="20" t="n">
        <v>4</v>
      </c>
      <c r="G30" s="20" t="n">
        <v>2</v>
      </c>
      <c r="H30" s="20" t="s">
        <v>51</v>
      </c>
      <c r="I30" s="9" t="s">
        <v>773</v>
      </c>
    </row>
    <row r="31" customFormat="false" ht="30" hidden="false" customHeight="true" outlineLevel="0" collapsed="false">
      <c r="B31" s="20" t="s">
        <v>245</v>
      </c>
      <c r="C31" s="9" t="s">
        <v>246</v>
      </c>
      <c r="D31" s="20" t="s">
        <v>58</v>
      </c>
      <c r="E31" s="20" t="n">
        <v>2</v>
      </c>
      <c r="F31" s="20" t="n">
        <v>3</v>
      </c>
      <c r="G31" s="20" t="n">
        <v>2</v>
      </c>
      <c r="H31" s="20" t="s">
        <v>250</v>
      </c>
      <c r="I31" s="9" t="s">
        <v>774</v>
      </c>
    </row>
    <row r="32" customFormat="false" ht="30" hidden="false" customHeight="true" outlineLevel="0" collapsed="false">
      <c r="B32" s="20" t="s">
        <v>257</v>
      </c>
      <c r="C32" s="9" t="s">
        <v>258</v>
      </c>
      <c r="D32" s="20" t="s">
        <v>58</v>
      </c>
      <c r="E32" s="20" t="n">
        <v>2</v>
      </c>
      <c r="F32" s="20" t="n">
        <v>3</v>
      </c>
      <c r="G32" s="20" t="n">
        <v>2</v>
      </c>
      <c r="H32" s="20" t="s">
        <v>261</v>
      </c>
      <c r="I32" s="9" t="s">
        <v>775</v>
      </c>
    </row>
    <row r="34" customFormat="false" ht="15" hidden="false" customHeight="false" outlineLevel="0" collapsed="false">
      <c r="B34" s="4" t="s">
        <v>776</v>
      </c>
    </row>
    <row r="35" customFormat="false" ht="15" hidden="false" customHeight="false" outlineLevel="0" collapsed="false">
      <c r="B35" s="18" t="s">
        <v>777</v>
      </c>
    </row>
    <row r="36" customFormat="false" ht="15" hidden="false" customHeight="false" outlineLevel="0" collapsed="false">
      <c r="B36" s="19" t="s">
        <v>23</v>
      </c>
      <c r="C36" s="19" t="s">
        <v>26</v>
      </c>
      <c r="D36" s="19" t="s">
        <v>29</v>
      </c>
      <c r="E36" s="19" t="s">
        <v>748</v>
      </c>
      <c r="F36" s="19" t="s">
        <v>749</v>
      </c>
      <c r="G36" s="19" t="s">
        <v>750</v>
      </c>
      <c r="H36" s="19" t="s">
        <v>751</v>
      </c>
      <c r="I36" s="19" t="s">
        <v>752</v>
      </c>
    </row>
    <row r="37" customFormat="false" ht="30" hidden="false" customHeight="true" outlineLevel="0" collapsed="false">
      <c r="B37" s="20" t="s">
        <v>200</v>
      </c>
      <c r="C37" s="9" t="s">
        <v>202</v>
      </c>
      <c r="D37" s="20" t="s">
        <v>157</v>
      </c>
      <c r="E37" s="20" t="n">
        <v>2</v>
      </c>
      <c r="F37" s="20" t="n">
        <v>3</v>
      </c>
      <c r="G37" s="20" t="n">
        <v>1</v>
      </c>
      <c r="H37" s="20" t="s">
        <v>206</v>
      </c>
      <c r="I37" s="9" t="s">
        <v>778</v>
      </c>
    </row>
    <row r="38" customFormat="false" ht="30" hidden="false" customHeight="true" outlineLevel="0" collapsed="false">
      <c r="B38" s="20" t="s">
        <v>208</v>
      </c>
      <c r="C38" s="9" t="s">
        <v>209</v>
      </c>
      <c r="D38" s="20" t="s">
        <v>157</v>
      </c>
      <c r="E38" s="20" t="n">
        <v>3</v>
      </c>
      <c r="F38" s="20" t="n">
        <v>4</v>
      </c>
      <c r="G38" s="20" t="n">
        <v>1</v>
      </c>
      <c r="H38" s="20" t="s">
        <v>206</v>
      </c>
      <c r="I38" s="9" t="s">
        <v>779</v>
      </c>
    </row>
    <row r="39" customFormat="false" ht="30" hidden="false" customHeight="true" outlineLevel="0" collapsed="false">
      <c r="B39" s="20" t="s">
        <v>213</v>
      </c>
      <c r="C39" s="9" t="s">
        <v>214</v>
      </c>
      <c r="D39" s="20" t="s">
        <v>46</v>
      </c>
      <c r="E39" s="20" t="n">
        <v>3</v>
      </c>
      <c r="F39" s="20" t="n">
        <v>3</v>
      </c>
      <c r="G39" s="20" t="n">
        <v>1</v>
      </c>
      <c r="H39" s="20" t="s">
        <v>206</v>
      </c>
      <c r="I39" s="9" t="s">
        <v>780</v>
      </c>
    </row>
    <row r="40" customFormat="false" ht="30" hidden="false" customHeight="true" outlineLevel="0" collapsed="false">
      <c r="B40" s="20" t="s">
        <v>218</v>
      </c>
      <c r="C40" s="9" t="s">
        <v>219</v>
      </c>
      <c r="D40" s="20" t="s">
        <v>79</v>
      </c>
      <c r="E40" s="20" t="n">
        <v>2</v>
      </c>
      <c r="F40" s="20" t="n">
        <v>3</v>
      </c>
      <c r="G40" s="20" t="n">
        <v>1</v>
      </c>
      <c r="H40" s="20" t="s">
        <v>92</v>
      </c>
      <c r="I40" s="9" t="s">
        <v>781</v>
      </c>
    </row>
    <row r="41" customFormat="false" ht="30" hidden="false" customHeight="true" outlineLevel="0" collapsed="false">
      <c r="B41" s="20" t="s">
        <v>223</v>
      </c>
      <c r="C41" s="9" t="s">
        <v>224</v>
      </c>
      <c r="D41" s="20" t="s">
        <v>46</v>
      </c>
      <c r="E41" s="20" t="n">
        <v>3</v>
      </c>
      <c r="F41" s="20" t="n">
        <v>3</v>
      </c>
      <c r="G41" s="20" t="n">
        <v>2</v>
      </c>
      <c r="H41" s="20" t="s">
        <v>164</v>
      </c>
      <c r="I41" s="9" t="s">
        <v>782</v>
      </c>
    </row>
    <row r="42" customFormat="false" ht="30" hidden="false" customHeight="true" outlineLevel="0" collapsed="false">
      <c r="B42" s="20" t="s">
        <v>228</v>
      </c>
      <c r="C42" s="9" t="s">
        <v>229</v>
      </c>
      <c r="D42" s="20" t="s">
        <v>58</v>
      </c>
      <c r="E42" s="20" t="n">
        <v>2</v>
      </c>
      <c r="F42" s="20" t="n">
        <v>4</v>
      </c>
      <c r="G42" s="20" t="n">
        <v>1</v>
      </c>
      <c r="H42" s="20" t="s">
        <v>232</v>
      </c>
      <c r="I42" s="9" t="s">
        <v>783</v>
      </c>
    </row>
    <row r="44" customFormat="false" ht="15" hidden="false" customHeight="false" outlineLevel="0" collapsed="false">
      <c r="B44" s="4" t="s">
        <v>784</v>
      </c>
    </row>
    <row r="45" customFormat="false" ht="15" hidden="false" customHeight="false" outlineLevel="0" collapsed="false">
      <c r="B45" s="18" t="s">
        <v>785</v>
      </c>
    </row>
    <row r="46" customFormat="false" ht="15" hidden="false" customHeight="false" outlineLevel="0" collapsed="false">
      <c r="B46" s="19" t="s">
        <v>23</v>
      </c>
      <c r="C46" s="19" t="s">
        <v>26</v>
      </c>
      <c r="D46" s="19" t="s">
        <v>29</v>
      </c>
      <c r="E46" s="19" t="s">
        <v>748</v>
      </c>
      <c r="F46" s="19" t="s">
        <v>749</v>
      </c>
      <c r="G46" s="19" t="s">
        <v>750</v>
      </c>
      <c r="H46" s="19" t="s">
        <v>751</v>
      </c>
      <c r="I46" s="19" t="s">
        <v>752</v>
      </c>
    </row>
    <row r="47" customFormat="false" ht="30" hidden="false" customHeight="true" outlineLevel="0" collapsed="false">
      <c r="B47" s="20" t="s">
        <v>100</v>
      </c>
      <c r="C47" s="9" t="s">
        <v>101</v>
      </c>
      <c r="D47" s="20" t="s">
        <v>79</v>
      </c>
      <c r="E47" s="20" t="n">
        <v>4</v>
      </c>
      <c r="F47" s="20" t="n">
        <v>5</v>
      </c>
      <c r="G47" s="20" t="n">
        <v>2</v>
      </c>
      <c r="H47" s="20" t="s">
        <v>104</v>
      </c>
      <c r="I47" s="9" t="s">
        <v>786</v>
      </c>
    </row>
    <row r="48" customFormat="false" ht="30" hidden="false" customHeight="true" outlineLevel="0" collapsed="false">
      <c r="B48" s="20" t="s">
        <v>106</v>
      </c>
      <c r="C48" s="9" t="s">
        <v>107</v>
      </c>
      <c r="D48" s="20" t="s">
        <v>58</v>
      </c>
      <c r="E48" s="20" t="n">
        <v>2</v>
      </c>
      <c r="F48" s="20" t="n">
        <v>3</v>
      </c>
      <c r="G48" s="20" t="n">
        <v>3</v>
      </c>
      <c r="H48" s="20" t="s">
        <v>110</v>
      </c>
      <c r="I48" s="9" t="s">
        <v>787</v>
      </c>
    </row>
    <row r="49" customFormat="false" ht="30" hidden="false" customHeight="true" outlineLevel="0" collapsed="false">
      <c r="B49" s="20" t="s">
        <v>141</v>
      </c>
      <c r="C49" s="9" t="s">
        <v>142</v>
      </c>
      <c r="D49" s="20" t="s">
        <v>58</v>
      </c>
      <c r="E49" s="20" t="n">
        <v>2</v>
      </c>
      <c r="F49" s="20" t="n">
        <v>4</v>
      </c>
      <c r="G49" s="20" t="n">
        <v>3</v>
      </c>
      <c r="H49" s="20" t="s">
        <v>145</v>
      </c>
      <c r="I49" s="9" t="s">
        <v>788</v>
      </c>
    </row>
    <row r="50" customFormat="false" ht="30" hidden="false" customHeight="true" outlineLevel="0" collapsed="false">
      <c r="B50" s="20" t="s">
        <v>159</v>
      </c>
      <c r="C50" s="9" t="s">
        <v>161</v>
      </c>
      <c r="D50" s="20" t="s">
        <v>58</v>
      </c>
      <c r="E50" s="20" t="n">
        <v>2</v>
      </c>
      <c r="F50" s="20" t="n">
        <v>4</v>
      </c>
      <c r="G50" s="20" t="n">
        <v>2</v>
      </c>
      <c r="H50" s="20" t="s">
        <v>164</v>
      </c>
      <c r="I50" s="9" t="s">
        <v>789</v>
      </c>
    </row>
    <row r="51" customFormat="false" ht="30" hidden="false" customHeight="true" outlineLevel="0" collapsed="false">
      <c r="B51" s="20" t="s">
        <v>166</v>
      </c>
      <c r="C51" s="9" t="s">
        <v>167</v>
      </c>
      <c r="D51" s="20" t="s">
        <v>79</v>
      </c>
      <c r="E51" s="20" t="n">
        <v>3</v>
      </c>
      <c r="F51" s="20" t="n">
        <v>4</v>
      </c>
      <c r="G51" s="20" t="n">
        <v>3</v>
      </c>
      <c r="H51" s="20" t="s">
        <v>92</v>
      </c>
      <c r="I51" s="9" t="s">
        <v>790</v>
      </c>
    </row>
    <row r="52" customFormat="false" ht="30" hidden="false" customHeight="true" outlineLevel="0" collapsed="false">
      <c r="B52" s="20" t="s">
        <v>172</v>
      </c>
      <c r="C52" s="9" t="s">
        <v>173</v>
      </c>
      <c r="D52" s="20" t="s">
        <v>79</v>
      </c>
      <c r="E52" s="20" t="n">
        <v>3</v>
      </c>
      <c r="F52" s="20" t="n">
        <v>4</v>
      </c>
      <c r="G52" s="20" t="n">
        <v>3</v>
      </c>
      <c r="H52" s="20" t="s">
        <v>92</v>
      </c>
      <c r="I52" s="9" t="s">
        <v>791</v>
      </c>
    </row>
    <row r="53" customFormat="false" ht="30" hidden="false" customHeight="true" outlineLevel="0" collapsed="false">
      <c r="B53" s="20" t="s">
        <v>252</v>
      </c>
      <c r="C53" s="9" t="s">
        <v>253</v>
      </c>
      <c r="D53" s="20" t="s">
        <v>79</v>
      </c>
      <c r="E53" s="20" t="n">
        <v>5</v>
      </c>
      <c r="F53" s="20" t="n">
        <v>5</v>
      </c>
      <c r="G53" s="20" t="n">
        <v>3</v>
      </c>
      <c r="H53" s="20" t="s">
        <v>232</v>
      </c>
      <c r="I53" s="9" t="s">
        <v>792</v>
      </c>
    </row>
    <row r="55" customFormat="false" ht="15" hidden="false" customHeight="false" outlineLevel="0" collapsed="false">
      <c r="B55" s="4" t="s">
        <v>793</v>
      </c>
    </row>
    <row r="56" customFormat="false" ht="15" hidden="false" customHeight="false" outlineLevel="0" collapsed="false">
      <c r="B56" s="18" t="s">
        <v>794</v>
      </c>
    </row>
    <row r="57" customFormat="false" ht="15" hidden="false" customHeight="false" outlineLevel="0" collapsed="false">
      <c r="B57" s="19" t="s">
        <v>23</v>
      </c>
      <c r="C57" s="19" t="s">
        <v>26</v>
      </c>
      <c r="D57" s="19" t="s">
        <v>29</v>
      </c>
      <c r="E57" s="19" t="s">
        <v>748</v>
      </c>
      <c r="F57" s="19" t="s">
        <v>749</v>
      </c>
      <c r="G57" s="19" t="s">
        <v>750</v>
      </c>
      <c r="H57" s="19" t="s">
        <v>751</v>
      </c>
      <c r="I57" s="19" t="s">
        <v>752</v>
      </c>
    </row>
    <row r="58" customFormat="false" ht="30" hidden="false" customHeight="true" outlineLevel="0" collapsed="false">
      <c r="B58" s="20" t="s">
        <v>263</v>
      </c>
      <c r="C58" s="9" t="s">
        <v>265</v>
      </c>
      <c r="D58" s="20" t="s">
        <v>79</v>
      </c>
      <c r="E58" s="20" t="n">
        <v>4</v>
      </c>
      <c r="F58" s="20" t="n">
        <v>4</v>
      </c>
      <c r="G58" s="20" t="n">
        <v>1</v>
      </c>
      <c r="H58" s="20" t="s">
        <v>268</v>
      </c>
      <c r="I58" s="9" t="s">
        <v>795</v>
      </c>
    </row>
    <row r="59" customFormat="false" ht="30" hidden="false" customHeight="true" outlineLevel="0" collapsed="false">
      <c r="B59" s="20" t="s">
        <v>270</v>
      </c>
      <c r="C59" s="9" t="s">
        <v>271</v>
      </c>
      <c r="D59" s="20" t="s">
        <v>79</v>
      </c>
      <c r="E59" s="20" t="n">
        <v>4</v>
      </c>
      <c r="F59" s="20" t="n">
        <v>5</v>
      </c>
      <c r="G59" s="20" t="n">
        <v>2</v>
      </c>
      <c r="H59" s="20" t="s">
        <v>92</v>
      </c>
      <c r="I59" s="9" t="s">
        <v>796</v>
      </c>
    </row>
    <row r="61" customFormat="false" ht="15" hidden="false" customHeight="false" outlineLevel="0" collapsed="false">
      <c r="B61" s="4" t="s">
        <v>797</v>
      </c>
    </row>
    <row r="62" customFormat="false" ht="15" hidden="false" customHeight="false" outlineLevel="0" collapsed="false">
      <c r="B62" s="18" t="s">
        <v>798</v>
      </c>
    </row>
    <row r="63" customFormat="false" ht="15" hidden="false" customHeight="false" outlineLevel="0" collapsed="false">
      <c r="B63" s="19" t="s">
        <v>23</v>
      </c>
      <c r="C63" s="19" t="s">
        <v>26</v>
      </c>
      <c r="D63" s="19" t="s">
        <v>29</v>
      </c>
      <c r="E63" s="19" t="s">
        <v>748</v>
      </c>
      <c r="F63" s="19" t="s">
        <v>749</v>
      </c>
      <c r="G63" s="19" t="s">
        <v>750</v>
      </c>
      <c r="H63" s="19" t="s">
        <v>751</v>
      </c>
      <c r="I63" s="19" t="s">
        <v>752</v>
      </c>
    </row>
    <row r="64" customFormat="false" ht="30" hidden="false" customHeight="true" outlineLevel="0" collapsed="false">
      <c r="B64" s="20" t="s">
        <v>112</v>
      </c>
      <c r="C64" s="9" t="s">
        <v>113</v>
      </c>
      <c r="D64" s="20" t="s">
        <v>58</v>
      </c>
      <c r="E64" s="20" t="n">
        <v>2</v>
      </c>
      <c r="F64" s="20" t="n">
        <v>2</v>
      </c>
      <c r="G64" s="20" t="n">
        <v>3</v>
      </c>
      <c r="H64" s="20" t="s">
        <v>116</v>
      </c>
      <c r="I64" s="9" t="s">
        <v>799</v>
      </c>
    </row>
    <row r="65" customFormat="false" ht="30" hidden="false" customHeight="true" outlineLevel="0" collapsed="false">
      <c r="B65" s="20" t="s">
        <v>189</v>
      </c>
      <c r="C65" s="9" t="s">
        <v>190</v>
      </c>
      <c r="D65" s="20" t="s">
        <v>79</v>
      </c>
      <c r="E65" s="20" t="n">
        <v>5</v>
      </c>
      <c r="F65" s="20" t="n">
        <v>3</v>
      </c>
      <c r="G65" s="20" t="n">
        <v>2</v>
      </c>
      <c r="H65" s="20" t="s">
        <v>193</v>
      </c>
      <c r="I65" s="9" t="s">
        <v>800</v>
      </c>
    </row>
    <row r="67" customFormat="false" ht="15" hidden="false" customHeight="false" outlineLevel="0" collapsed="false">
      <c r="B67" s="4" t="s">
        <v>801</v>
      </c>
    </row>
    <row r="68" customFormat="false" ht="15" hidden="false" customHeight="false" outlineLevel="0" collapsed="false">
      <c r="B68" s="18" t="s">
        <v>802</v>
      </c>
    </row>
    <row r="69" customFormat="false" ht="15" hidden="false" customHeight="false" outlineLevel="0" collapsed="false">
      <c r="B69" s="19" t="s">
        <v>23</v>
      </c>
      <c r="C69" s="19" t="s">
        <v>26</v>
      </c>
      <c r="D69" s="19" t="s">
        <v>29</v>
      </c>
      <c r="E69" s="19" t="s">
        <v>748</v>
      </c>
      <c r="F69" s="19" t="s">
        <v>749</v>
      </c>
      <c r="G69" s="19" t="s">
        <v>750</v>
      </c>
      <c r="H69" s="19" t="s">
        <v>751</v>
      </c>
      <c r="I69" s="19" t="s">
        <v>752</v>
      </c>
    </row>
    <row r="70" customFormat="false" ht="30" hidden="false" customHeight="true" outlineLevel="0" collapsed="false">
      <c r="B70" s="20" t="s">
        <v>306</v>
      </c>
      <c r="C70" s="9" t="s">
        <v>309</v>
      </c>
      <c r="D70" s="20" t="s">
        <v>157</v>
      </c>
      <c r="E70" s="20" t="n">
        <v>2</v>
      </c>
      <c r="F70" s="20" t="n">
        <v>4</v>
      </c>
      <c r="G70" s="20" t="n">
        <v>1</v>
      </c>
      <c r="H70" s="20" t="s">
        <v>228</v>
      </c>
      <c r="I70" s="9" t="s">
        <v>803</v>
      </c>
    </row>
    <row r="71" customFormat="false" ht="30" hidden="false" customHeight="true" outlineLevel="0" collapsed="false">
      <c r="B71" s="20" t="s">
        <v>151</v>
      </c>
      <c r="C71" s="9" t="s">
        <v>313</v>
      </c>
      <c r="D71" s="20" t="s">
        <v>157</v>
      </c>
      <c r="E71" s="20" t="n">
        <v>1</v>
      </c>
      <c r="F71" s="20" t="n">
        <v>4</v>
      </c>
      <c r="G71" s="20" t="n">
        <v>1</v>
      </c>
      <c r="H71" s="20" t="s">
        <v>62</v>
      </c>
      <c r="I71" s="9" t="s">
        <v>804</v>
      </c>
    </row>
    <row r="72" customFormat="false" ht="30" hidden="false" customHeight="true" outlineLevel="0" collapsed="false">
      <c r="B72" s="20" t="s">
        <v>317</v>
      </c>
      <c r="C72" s="9" t="s">
        <v>318</v>
      </c>
      <c r="D72" s="20" t="s">
        <v>157</v>
      </c>
      <c r="E72" s="20" t="n">
        <v>2</v>
      </c>
      <c r="F72" s="20" t="n">
        <v>4</v>
      </c>
      <c r="G72" s="20" t="n">
        <v>1</v>
      </c>
      <c r="H72" s="20" t="s">
        <v>177</v>
      </c>
      <c r="I72" s="9" t="s">
        <v>805</v>
      </c>
    </row>
    <row r="73" customFormat="false" ht="30" hidden="false" customHeight="true" outlineLevel="0" collapsed="false">
      <c r="B73" s="20" t="s">
        <v>322</v>
      </c>
      <c r="C73" s="9" t="s">
        <v>323</v>
      </c>
      <c r="D73" s="20" t="s">
        <v>46</v>
      </c>
      <c r="E73" s="20" t="n">
        <v>3</v>
      </c>
      <c r="F73" s="20" t="n">
        <v>5</v>
      </c>
      <c r="G73" s="20" t="n">
        <v>1</v>
      </c>
      <c r="H73" s="20" t="s">
        <v>106</v>
      </c>
      <c r="I73" s="9" t="s">
        <v>806</v>
      </c>
    </row>
    <row r="74" customFormat="false" ht="30" hidden="false" customHeight="true" outlineLevel="0" collapsed="false">
      <c r="B74" s="20" t="s">
        <v>268</v>
      </c>
      <c r="C74" s="9" t="s">
        <v>327</v>
      </c>
      <c r="D74" s="20" t="s">
        <v>157</v>
      </c>
      <c r="E74" s="20" t="n">
        <v>2</v>
      </c>
      <c r="F74" s="20" t="n">
        <v>5</v>
      </c>
      <c r="G74" s="20" t="n">
        <v>1</v>
      </c>
      <c r="H74" s="20" t="s">
        <v>257</v>
      </c>
      <c r="I74" s="9" t="s">
        <v>807</v>
      </c>
    </row>
    <row r="75" customFormat="false" ht="30" hidden="false" customHeight="true" outlineLevel="0" collapsed="false">
      <c r="B75" s="20" t="s">
        <v>331</v>
      </c>
      <c r="C75" s="9" t="s">
        <v>332</v>
      </c>
      <c r="D75" s="20" t="s">
        <v>157</v>
      </c>
      <c r="E75" s="20" t="n">
        <v>2</v>
      </c>
      <c r="F75" s="20" t="n">
        <v>5</v>
      </c>
      <c r="G75" s="20" t="n">
        <v>1</v>
      </c>
      <c r="H75" s="20" t="s">
        <v>153</v>
      </c>
      <c r="I75" s="9" t="s">
        <v>808</v>
      </c>
    </row>
    <row r="76" customFormat="false" ht="30" hidden="false" customHeight="true" outlineLevel="0" collapsed="false">
      <c r="B76" s="20" t="s">
        <v>336</v>
      </c>
      <c r="C76" s="9" t="s">
        <v>337</v>
      </c>
      <c r="D76" s="20" t="s">
        <v>46</v>
      </c>
      <c r="E76" s="20" t="n">
        <v>2</v>
      </c>
      <c r="F76" s="20" t="n">
        <v>4</v>
      </c>
      <c r="G76" s="20" t="n">
        <v>1</v>
      </c>
      <c r="H76" s="20" t="s">
        <v>228</v>
      </c>
      <c r="I76" s="9" t="s">
        <v>809</v>
      </c>
    </row>
    <row r="77" customFormat="false" ht="30" hidden="false" customHeight="true" outlineLevel="0" collapsed="false">
      <c r="B77" s="20" t="s">
        <v>341</v>
      </c>
      <c r="C77" s="9" t="s">
        <v>342</v>
      </c>
      <c r="D77" s="20" t="s">
        <v>46</v>
      </c>
      <c r="E77" s="20" t="n">
        <v>2</v>
      </c>
      <c r="F77" s="20" t="n">
        <v>4</v>
      </c>
      <c r="G77" s="20" t="n">
        <v>2</v>
      </c>
      <c r="H77" s="20" t="s">
        <v>208</v>
      </c>
      <c r="I77" s="9" t="s">
        <v>810</v>
      </c>
    </row>
    <row r="79" customFormat="false" ht="15" hidden="false" customHeight="false" outlineLevel="0" collapsed="false">
      <c r="B79" s="4" t="s">
        <v>811</v>
      </c>
    </row>
    <row r="80" customFormat="false" ht="15" hidden="false" customHeight="false" outlineLevel="0" collapsed="false">
      <c r="B80" s="18" t="s">
        <v>812</v>
      </c>
    </row>
    <row r="81" customFormat="false" ht="15" hidden="false" customHeight="false" outlineLevel="0" collapsed="false">
      <c r="B81" s="19" t="s">
        <v>23</v>
      </c>
      <c r="C81" s="19" t="s">
        <v>26</v>
      </c>
      <c r="D81" s="19" t="s">
        <v>29</v>
      </c>
      <c r="E81" s="19" t="s">
        <v>748</v>
      </c>
      <c r="F81" s="19" t="s">
        <v>749</v>
      </c>
      <c r="G81" s="19" t="s">
        <v>750</v>
      </c>
      <c r="H81" s="19" t="s">
        <v>751</v>
      </c>
      <c r="I81" s="19" t="s">
        <v>752</v>
      </c>
    </row>
    <row r="82" customFormat="false" ht="30" hidden="false" customHeight="true" outlineLevel="0" collapsed="false">
      <c r="B82" s="20" t="s">
        <v>346</v>
      </c>
      <c r="C82" s="9" t="s">
        <v>348</v>
      </c>
      <c r="D82" s="20" t="s">
        <v>46</v>
      </c>
      <c r="E82" s="20" t="n">
        <v>3</v>
      </c>
      <c r="F82" s="20" t="n">
        <v>4</v>
      </c>
      <c r="G82" s="20" t="n">
        <v>1</v>
      </c>
      <c r="H82" s="20" t="s">
        <v>223</v>
      </c>
      <c r="I82" s="9" t="s">
        <v>813</v>
      </c>
    </row>
    <row r="83" customFormat="false" ht="30" hidden="false" customHeight="true" outlineLevel="0" collapsed="false">
      <c r="B83" s="20" t="s">
        <v>352</v>
      </c>
      <c r="C83" s="9" t="s">
        <v>353</v>
      </c>
      <c r="D83" s="20" t="s">
        <v>58</v>
      </c>
      <c r="E83" s="20" t="n">
        <v>4</v>
      </c>
      <c r="F83" s="20" t="n">
        <v>5</v>
      </c>
      <c r="G83" s="20" t="n">
        <v>3</v>
      </c>
      <c r="H83" s="20" t="s">
        <v>257</v>
      </c>
      <c r="I83" s="9" t="s">
        <v>814</v>
      </c>
    </row>
    <row r="84" customFormat="false" ht="30" hidden="false" customHeight="true" outlineLevel="0" collapsed="false">
      <c r="B84" s="20" t="s">
        <v>250</v>
      </c>
      <c r="C84" s="9" t="s">
        <v>357</v>
      </c>
      <c r="D84" s="20" t="s">
        <v>58</v>
      </c>
      <c r="E84" s="20" t="n">
        <v>3</v>
      </c>
      <c r="F84" s="20" t="n">
        <v>5</v>
      </c>
      <c r="G84" s="20" t="n">
        <v>2</v>
      </c>
      <c r="H84" s="20" t="s">
        <v>245</v>
      </c>
      <c r="I84" s="9" t="s">
        <v>815</v>
      </c>
    </row>
    <row r="85" customFormat="false" ht="30" hidden="false" customHeight="true" outlineLevel="0" collapsed="false">
      <c r="B85" s="20" t="s">
        <v>110</v>
      </c>
      <c r="C85" s="9" t="s">
        <v>361</v>
      </c>
      <c r="D85" s="20" t="s">
        <v>58</v>
      </c>
      <c r="E85" s="20" t="n">
        <v>3</v>
      </c>
      <c r="F85" s="20" t="n">
        <v>5</v>
      </c>
      <c r="G85" s="20" t="n">
        <v>3</v>
      </c>
      <c r="H85" s="20" t="s">
        <v>106</v>
      </c>
      <c r="I85" s="9" t="s">
        <v>816</v>
      </c>
    </row>
    <row r="86" customFormat="false" ht="30" hidden="false" customHeight="true" outlineLevel="0" collapsed="false">
      <c r="B86" s="20" t="s">
        <v>261</v>
      </c>
      <c r="C86" s="9" t="s">
        <v>365</v>
      </c>
      <c r="D86" s="20" t="s">
        <v>46</v>
      </c>
      <c r="E86" s="20" t="n">
        <v>2</v>
      </c>
      <c r="F86" s="20" t="n">
        <v>4</v>
      </c>
      <c r="G86" s="20" t="n">
        <v>2</v>
      </c>
      <c r="H86" s="20" t="s">
        <v>100</v>
      </c>
      <c r="I86" s="9" t="s">
        <v>817</v>
      </c>
    </row>
    <row r="87" customFormat="false" ht="30" hidden="false" customHeight="true" outlineLevel="0" collapsed="false">
      <c r="B87" s="20" t="s">
        <v>60</v>
      </c>
      <c r="C87" s="9" t="s">
        <v>369</v>
      </c>
      <c r="D87" s="20" t="s">
        <v>46</v>
      </c>
      <c r="E87" s="20" t="n">
        <v>3</v>
      </c>
      <c r="F87" s="20" t="n">
        <v>5</v>
      </c>
      <c r="G87" s="20" t="n">
        <v>1</v>
      </c>
      <c r="H87" s="20" t="s">
        <v>54</v>
      </c>
      <c r="I87" s="9" t="s">
        <v>818</v>
      </c>
    </row>
    <row r="88" customFormat="false" ht="30" hidden="false" customHeight="true" outlineLevel="0" collapsed="false">
      <c r="B88" s="20" t="s">
        <v>104</v>
      </c>
      <c r="C88" s="9" t="s">
        <v>373</v>
      </c>
      <c r="D88" s="20" t="s">
        <v>157</v>
      </c>
      <c r="E88" s="20" t="n">
        <v>1</v>
      </c>
      <c r="F88" s="20" t="n">
        <v>4</v>
      </c>
      <c r="G88" s="20" t="n">
        <v>2</v>
      </c>
      <c r="H88" s="20" t="s">
        <v>252</v>
      </c>
      <c r="I88" s="9" t="s">
        <v>819</v>
      </c>
    </row>
    <row r="90" customFormat="false" ht="15" hidden="false" customHeight="false" outlineLevel="0" collapsed="false">
      <c r="B90" s="4" t="s">
        <v>820</v>
      </c>
    </row>
    <row r="91" customFormat="false" ht="15" hidden="false" customHeight="false" outlineLevel="0" collapsed="false">
      <c r="B91" s="18" t="s">
        <v>821</v>
      </c>
    </row>
    <row r="92" customFormat="false" ht="15" hidden="false" customHeight="false" outlineLevel="0" collapsed="false">
      <c r="B92" s="19" t="s">
        <v>23</v>
      </c>
      <c r="C92" s="19" t="s">
        <v>26</v>
      </c>
      <c r="D92" s="19" t="s">
        <v>29</v>
      </c>
      <c r="E92" s="19" t="s">
        <v>748</v>
      </c>
      <c r="F92" s="19" t="s">
        <v>749</v>
      </c>
      <c r="G92" s="19" t="s">
        <v>750</v>
      </c>
      <c r="H92" s="19" t="s">
        <v>751</v>
      </c>
      <c r="I92" s="19" t="s">
        <v>752</v>
      </c>
    </row>
    <row r="93" customFormat="false" ht="30" hidden="false" customHeight="true" outlineLevel="0" collapsed="false">
      <c r="B93" s="20" t="s">
        <v>377</v>
      </c>
      <c r="C93" s="9" t="s">
        <v>378</v>
      </c>
      <c r="D93" s="20" t="s">
        <v>79</v>
      </c>
      <c r="E93" s="20" t="n">
        <v>4</v>
      </c>
      <c r="F93" s="20" t="n">
        <v>4</v>
      </c>
      <c r="G93" s="20" t="n">
        <v>3</v>
      </c>
      <c r="H93" s="20" t="s">
        <v>172</v>
      </c>
      <c r="I93" s="9" t="s">
        <v>822</v>
      </c>
    </row>
    <row r="94" customFormat="false" ht="30" hidden="false" customHeight="true" outlineLevel="0" collapsed="false">
      <c r="B94" s="20" t="s">
        <v>80</v>
      </c>
      <c r="C94" s="9" t="s">
        <v>382</v>
      </c>
      <c r="D94" s="20" t="s">
        <v>46</v>
      </c>
      <c r="E94" s="20" t="n">
        <v>3</v>
      </c>
      <c r="F94" s="20" t="n">
        <v>4</v>
      </c>
      <c r="G94" s="20" t="n">
        <v>1</v>
      </c>
      <c r="H94" s="20" t="s">
        <v>159</v>
      </c>
      <c r="I94" s="9" t="s">
        <v>823</v>
      </c>
    </row>
    <row r="95" customFormat="false" ht="30" hidden="false" customHeight="true" outlineLevel="0" collapsed="false">
      <c r="B95" s="20" t="s">
        <v>164</v>
      </c>
      <c r="C95" s="9" t="s">
        <v>386</v>
      </c>
      <c r="D95" s="20" t="s">
        <v>58</v>
      </c>
      <c r="E95" s="20" t="n">
        <v>3</v>
      </c>
      <c r="F95" s="20" t="n">
        <v>3</v>
      </c>
      <c r="G95" s="20" t="n">
        <v>3</v>
      </c>
      <c r="H95" s="20" t="s">
        <v>223</v>
      </c>
      <c r="I95" s="9" t="s">
        <v>824</v>
      </c>
    </row>
    <row r="97" customFormat="false" ht="15" hidden="false" customHeight="false" outlineLevel="0" collapsed="false">
      <c r="B97" s="4" t="s">
        <v>825</v>
      </c>
    </row>
    <row r="98" customFormat="false" ht="15" hidden="false" customHeight="false" outlineLevel="0" collapsed="false">
      <c r="B98" s="18" t="s">
        <v>826</v>
      </c>
    </row>
    <row r="99" customFormat="false" ht="15" hidden="false" customHeight="false" outlineLevel="0" collapsed="false">
      <c r="B99" s="19" t="s">
        <v>23</v>
      </c>
      <c r="C99" s="19" t="s">
        <v>26</v>
      </c>
      <c r="D99" s="19" t="s">
        <v>29</v>
      </c>
      <c r="E99" s="19" t="s">
        <v>748</v>
      </c>
      <c r="F99" s="19" t="s">
        <v>749</v>
      </c>
      <c r="G99" s="19" t="s">
        <v>750</v>
      </c>
      <c r="H99" s="19" t="s">
        <v>751</v>
      </c>
      <c r="I99" s="19" t="s">
        <v>752</v>
      </c>
    </row>
    <row r="100" customFormat="false" ht="30" hidden="false" customHeight="true" outlineLevel="0" collapsed="false">
      <c r="B100" s="20" t="s">
        <v>116</v>
      </c>
      <c r="C100" s="9" t="s">
        <v>390</v>
      </c>
      <c r="D100" s="20" t="s">
        <v>46</v>
      </c>
      <c r="E100" s="20" t="n">
        <v>3</v>
      </c>
      <c r="F100" s="20" t="n">
        <v>3</v>
      </c>
      <c r="G100" s="20" t="n">
        <v>1</v>
      </c>
      <c r="H100" s="20" t="s">
        <v>393</v>
      </c>
      <c r="I100" s="9" t="s">
        <v>827</v>
      </c>
    </row>
    <row r="101" customFormat="false" ht="30" hidden="false" customHeight="true" outlineLevel="0" collapsed="false">
      <c r="B101" s="20" t="s">
        <v>395</v>
      </c>
      <c r="C101" s="9" t="s">
        <v>396</v>
      </c>
      <c r="D101" s="20" t="s">
        <v>79</v>
      </c>
      <c r="E101" s="20" t="n">
        <v>5</v>
      </c>
      <c r="F101" s="20" t="n">
        <v>5</v>
      </c>
      <c r="G101" s="20" t="n">
        <v>3</v>
      </c>
      <c r="H101" s="20" t="s">
        <v>223</v>
      </c>
      <c r="I101" s="9" t="s">
        <v>828</v>
      </c>
    </row>
    <row r="102" customFormat="false" ht="30" hidden="false" customHeight="true" outlineLevel="0" collapsed="false">
      <c r="B102" s="20" t="s">
        <v>206</v>
      </c>
      <c r="C102" s="9" t="s">
        <v>400</v>
      </c>
      <c r="D102" s="20" t="s">
        <v>157</v>
      </c>
      <c r="E102" s="20" t="n">
        <v>3</v>
      </c>
      <c r="F102" s="20" t="n">
        <v>4</v>
      </c>
      <c r="G102" s="20" t="n">
        <v>2</v>
      </c>
      <c r="H102" s="20" t="s">
        <v>200</v>
      </c>
      <c r="I102" s="9" t="s">
        <v>829</v>
      </c>
    </row>
    <row r="103" customFormat="false" ht="30" hidden="false" customHeight="true" outlineLevel="0" collapsed="false">
      <c r="B103" s="20" t="s">
        <v>232</v>
      </c>
      <c r="C103" s="9" t="s">
        <v>404</v>
      </c>
      <c r="D103" s="20" t="s">
        <v>79</v>
      </c>
      <c r="E103" s="20" t="n">
        <v>4</v>
      </c>
      <c r="F103" s="20" t="n">
        <v>5</v>
      </c>
      <c r="G103" s="20" t="n">
        <v>2</v>
      </c>
      <c r="H103" s="20" t="s">
        <v>252</v>
      </c>
      <c r="I103" s="9" t="s">
        <v>830</v>
      </c>
    </row>
    <row r="104" customFormat="false" ht="30" hidden="false" customHeight="true" outlineLevel="0" collapsed="false">
      <c r="B104" s="20" t="s">
        <v>51</v>
      </c>
      <c r="C104" s="9" t="s">
        <v>408</v>
      </c>
      <c r="D104" s="20" t="s">
        <v>157</v>
      </c>
      <c r="E104" s="20" t="n">
        <v>2</v>
      </c>
      <c r="F104" s="20" t="n">
        <v>5</v>
      </c>
      <c r="G104" s="20" t="n">
        <v>1</v>
      </c>
      <c r="H104" s="20" t="s">
        <v>153</v>
      </c>
      <c r="I104" s="9" t="s">
        <v>831</v>
      </c>
    </row>
    <row r="105" customFormat="false" ht="30" hidden="false" customHeight="true" outlineLevel="0" collapsed="false">
      <c r="B105" s="20" t="s">
        <v>412</v>
      </c>
      <c r="C105" s="9" t="s">
        <v>413</v>
      </c>
      <c r="D105" s="20" t="s">
        <v>46</v>
      </c>
      <c r="E105" s="20" t="n">
        <v>2</v>
      </c>
      <c r="F105" s="20" t="n">
        <v>5</v>
      </c>
      <c r="G105" s="20" t="n">
        <v>1</v>
      </c>
      <c r="H105" s="20" t="s">
        <v>136</v>
      </c>
      <c r="I105" s="9" t="s">
        <v>832</v>
      </c>
    </row>
    <row r="106" customFormat="false" ht="30" hidden="false" customHeight="true" outlineLevel="0" collapsed="false">
      <c r="B106" s="20" t="s">
        <v>193</v>
      </c>
      <c r="C106" s="9" t="s">
        <v>417</v>
      </c>
      <c r="D106" s="20" t="s">
        <v>46</v>
      </c>
      <c r="E106" s="20" t="n">
        <v>3</v>
      </c>
      <c r="F106" s="20" t="n">
        <v>5</v>
      </c>
      <c r="G106" s="20" t="n">
        <v>1</v>
      </c>
      <c r="H106" s="20" t="s">
        <v>240</v>
      </c>
      <c r="I106" s="9" t="s">
        <v>833</v>
      </c>
    </row>
    <row r="108" customFormat="false" ht="15" hidden="false" customHeight="false" outlineLevel="0" collapsed="false">
      <c r="B108" s="4" t="s">
        <v>834</v>
      </c>
    </row>
    <row r="109" customFormat="false" ht="15" hidden="false" customHeight="false" outlineLevel="0" collapsed="false">
      <c r="B109" s="18" t="s">
        <v>835</v>
      </c>
    </row>
    <row r="110" customFormat="false" ht="15" hidden="false" customHeight="false" outlineLevel="0" collapsed="false">
      <c r="B110" s="19" t="s">
        <v>23</v>
      </c>
      <c r="C110" s="19" t="s">
        <v>26</v>
      </c>
      <c r="D110" s="19" t="s">
        <v>29</v>
      </c>
      <c r="E110" s="19" t="s">
        <v>748</v>
      </c>
      <c r="F110" s="19" t="s">
        <v>749</v>
      </c>
      <c r="G110" s="19" t="s">
        <v>750</v>
      </c>
      <c r="H110" s="19" t="s">
        <v>751</v>
      </c>
      <c r="I110" s="19" t="s">
        <v>752</v>
      </c>
    </row>
    <row r="111" customFormat="false" ht="30" hidden="false" customHeight="true" outlineLevel="0" collapsed="false">
      <c r="B111" s="20" t="s">
        <v>421</v>
      </c>
      <c r="C111" s="9" t="s">
        <v>422</v>
      </c>
      <c r="D111" s="20" t="s">
        <v>157</v>
      </c>
      <c r="E111" s="20" t="n">
        <v>5</v>
      </c>
      <c r="F111" s="20" t="n">
        <v>5</v>
      </c>
      <c r="G111" s="20" t="n">
        <v>1</v>
      </c>
      <c r="H111" s="20" t="s">
        <v>75</v>
      </c>
      <c r="I111" s="9" t="s">
        <v>836</v>
      </c>
    </row>
    <row r="112" customFormat="false" ht="30" hidden="false" customHeight="true" outlineLevel="0" collapsed="false">
      <c r="B112" s="20" t="s">
        <v>426</v>
      </c>
      <c r="C112" s="9" t="s">
        <v>427</v>
      </c>
      <c r="D112" s="20" t="s">
        <v>157</v>
      </c>
      <c r="E112" s="20" t="n">
        <v>4</v>
      </c>
      <c r="F112" s="20" t="n">
        <v>4</v>
      </c>
      <c r="G112" s="20" t="n">
        <v>2</v>
      </c>
      <c r="H112" s="20" t="s">
        <v>75</v>
      </c>
      <c r="I112" s="9" t="s">
        <v>837</v>
      </c>
    </row>
    <row r="113" customFormat="false" ht="30" hidden="false" customHeight="true" outlineLevel="0" collapsed="false">
      <c r="B113" s="20" t="s">
        <v>67</v>
      </c>
      <c r="C113" s="9" t="s">
        <v>431</v>
      </c>
      <c r="D113" s="20" t="s">
        <v>46</v>
      </c>
      <c r="E113" s="20" t="n">
        <v>2</v>
      </c>
      <c r="F113" s="20" t="n">
        <v>4</v>
      </c>
      <c r="G113" s="20" t="n">
        <v>1</v>
      </c>
      <c r="H113" s="20" t="s">
        <v>125</v>
      </c>
      <c r="I113" s="9" t="s">
        <v>838</v>
      </c>
    </row>
    <row r="114" customFormat="false" ht="30" hidden="false" customHeight="true" outlineLevel="0" collapsed="false">
      <c r="B114" s="20" t="s">
        <v>129</v>
      </c>
      <c r="C114" s="9" t="s">
        <v>435</v>
      </c>
      <c r="D114" s="20" t="s">
        <v>46</v>
      </c>
      <c r="E114" s="20" t="n">
        <v>2</v>
      </c>
      <c r="F114" s="20" t="n">
        <v>4</v>
      </c>
      <c r="G114" s="20" t="n">
        <v>2</v>
      </c>
      <c r="H114" s="20" t="s">
        <v>257</v>
      </c>
      <c r="I114" s="9" t="s">
        <v>839</v>
      </c>
    </row>
    <row r="115" customFormat="false" ht="30" hidden="false" customHeight="true" outlineLevel="0" collapsed="false">
      <c r="B115" s="20" t="s">
        <v>187</v>
      </c>
      <c r="C115" s="9" t="s">
        <v>439</v>
      </c>
      <c r="D115" s="20" t="s">
        <v>157</v>
      </c>
      <c r="E115" s="20" t="n">
        <v>1</v>
      </c>
      <c r="F115" s="20" t="n">
        <v>4</v>
      </c>
      <c r="G115" s="20" t="n">
        <v>1</v>
      </c>
      <c r="H115" s="20" t="s">
        <v>106</v>
      </c>
      <c r="I115" s="9" t="s">
        <v>840</v>
      </c>
    </row>
    <row r="116" customFormat="false" ht="30" hidden="false" customHeight="true" outlineLevel="0" collapsed="false">
      <c r="B116" s="20" t="s">
        <v>73</v>
      </c>
      <c r="C116" s="9" t="s">
        <v>443</v>
      </c>
      <c r="D116" s="20" t="s">
        <v>46</v>
      </c>
      <c r="E116" s="20" t="n">
        <v>3</v>
      </c>
      <c r="F116" s="20" t="n">
        <v>5</v>
      </c>
      <c r="G116" s="20" t="n">
        <v>2</v>
      </c>
      <c r="H116" s="20" t="s">
        <v>69</v>
      </c>
      <c r="I116" s="9" t="s">
        <v>841</v>
      </c>
    </row>
    <row r="118" customFormat="false" ht="15" hidden="false" customHeight="false" outlineLevel="0" collapsed="false">
      <c r="B118" s="4" t="s">
        <v>842</v>
      </c>
    </row>
    <row r="119" customFormat="false" ht="15" hidden="false" customHeight="false" outlineLevel="0" collapsed="false">
      <c r="B119" s="18" t="s">
        <v>843</v>
      </c>
    </row>
    <row r="120" customFormat="false" ht="15" hidden="false" customHeight="false" outlineLevel="0" collapsed="false">
      <c r="B120" s="19" t="s">
        <v>23</v>
      </c>
      <c r="C120" s="19" t="s">
        <v>26</v>
      </c>
      <c r="D120" s="19" t="s">
        <v>29</v>
      </c>
      <c r="E120" s="19" t="s">
        <v>748</v>
      </c>
      <c r="F120" s="19" t="s">
        <v>749</v>
      </c>
      <c r="G120" s="19" t="s">
        <v>750</v>
      </c>
      <c r="H120" s="19" t="s">
        <v>751</v>
      </c>
      <c r="I120" s="19" t="s">
        <v>752</v>
      </c>
    </row>
    <row r="121" customFormat="false" ht="30" hidden="false" customHeight="true" outlineLevel="0" collapsed="false">
      <c r="B121" s="20" t="s">
        <v>275</v>
      </c>
      <c r="C121" s="9" t="s">
        <v>277</v>
      </c>
      <c r="D121" s="20" t="s">
        <v>157</v>
      </c>
      <c r="E121" s="20" t="n">
        <v>1</v>
      </c>
      <c r="F121" s="20" t="n">
        <v>1</v>
      </c>
      <c r="G121" s="20" t="n">
        <v>1</v>
      </c>
      <c r="H121" s="20" t="s">
        <v>106</v>
      </c>
      <c r="I121" s="9" t="s">
        <v>844</v>
      </c>
    </row>
    <row r="122" customFormat="false" ht="30" hidden="false" customHeight="true" outlineLevel="0" collapsed="false">
      <c r="B122" s="20" t="s">
        <v>281</v>
      </c>
      <c r="C122" s="9" t="s">
        <v>282</v>
      </c>
      <c r="D122" s="20" t="s">
        <v>79</v>
      </c>
      <c r="E122" s="20" t="n">
        <v>4</v>
      </c>
      <c r="F122" s="20" t="n">
        <v>1</v>
      </c>
      <c r="G122" s="20" t="n">
        <v>2</v>
      </c>
      <c r="H122" s="20" t="s">
        <v>183</v>
      </c>
      <c r="I122" s="9" t="s">
        <v>845</v>
      </c>
    </row>
    <row r="123" customFormat="false" ht="30" hidden="false" customHeight="true" outlineLevel="0" collapsed="false">
      <c r="B123" s="20" t="s">
        <v>286</v>
      </c>
      <c r="C123" s="9" t="s">
        <v>287</v>
      </c>
      <c r="D123" s="20" t="s">
        <v>79</v>
      </c>
      <c r="E123" s="20" t="n">
        <v>4</v>
      </c>
      <c r="F123" s="20" t="n">
        <v>1</v>
      </c>
      <c r="G123" s="20" t="n">
        <v>2</v>
      </c>
      <c r="H123" s="20" t="s">
        <v>69</v>
      </c>
      <c r="I123" s="9" t="s">
        <v>846</v>
      </c>
    </row>
    <row r="124" customFormat="false" ht="30" hidden="false" customHeight="true" outlineLevel="0" collapsed="false">
      <c r="B124" s="20" t="s">
        <v>291</v>
      </c>
      <c r="C124" s="9" t="s">
        <v>292</v>
      </c>
      <c r="D124" s="20" t="s">
        <v>79</v>
      </c>
      <c r="E124" s="20" t="n">
        <v>5</v>
      </c>
      <c r="F124" s="20" t="n">
        <v>1</v>
      </c>
      <c r="G124" s="20" t="n">
        <v>2</v>
      </c>
      <c r="H124" s="20" t="s">
        <v>131</v>
      </c>
      <c r="I124" s="9" t="s">
        <v>847</v>
      </c>
    </row>
    <row r="125" customFormat="false" ht="30" hidden="false" customHeight="true" outlineLevel="0" collapsed="false">
      <c r="B125" s="20" t="s">
        <v>296</v>
      </c>
      <c r="C125" s="9" t="s">
        <v>297</v>
      </c>
      <c r="D125" s="20" t="s">
        <v>157</v>
      </c>
      <c r="E125" s="20" t="n">
        <v>1</v>
      </c>
      <c r="F125" s="20" t="n">
        <v>1</v>
      </c>
      <c r="G125" s="20" t="n">
        <v>1</v>
      </c>
      <c r="H125" s="20" t="s">
        <v>100</v>
      </c>
      <c r="I125" s="9" t="s">
        <v>848</v>
      </c>
    </row>
    <row r="126" customFormat="false" ht="30" hidden="false" customHeight="true" outlineLevel="0" collapsed="false">
      <c r="B126" s="20" t="s">
        <v>301</v>
      </c>
      <c r="C126" s="9" t="s">
        <v>302</v>
      </c>
      <c r="D126" s="20" t="s">
        <v>79</v>
      </c>
      <c r="E126" s="20" t="n">
        <v>5</v>
      </c>
      <c r="F126" s="20" t="n">
        <v>1</v>
      </c>
      <c r="G126" s="20" t="n">
        <v>2</v>
      </c>
      <c r="H126" s="20" t="s">
        <v>189</v>
      </c>
      <c r="I126" s="9" t="s">
        <v>849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0"/>
    <col collapsed="false" customWidth="true" hidden="false" outlineLevel="0" max="3" min="3" style="0" width="42"/>
    <col collapsed="false" customWidth="true" hidden="false" outlineLevel="0" max="4" min="4" style="0" width="14"/>
    <col collapsed="false" customWidth="true" hidden="false" outlineLevel="0" max="5" min="5" style="0" width="68"/>
    <col collapsed="false" customWidth="true" hidden="false" outlineLevel="0" max="7" min="6" style="0" width="16"/>
  </cols>
  <sheetData>
    <row r="2" customFormat="false" ht="19.7" hidden="false" customHeight="false" outlineLevel="0" collapsed="false">
      <c r="B2" s="1" t="s">
        <v>850</v>
      </c>
    </row>
    <row r="3" customFormat="false" ht="15" hidden="false" customHeight="false" outlineLevel="0" collapsed="false">
      <c r="B3" s="17" t="s">
        <v>851</v>
      </c>
    </row>
    <row r="5" customFormat="false" ht="15" hidden="false" customHeight="false" outlineLevel="0" collapsed="false">
      <c r="B5" s="4" t="s">
        <v>852</v>
      </c>
    </row>
    <row r="6" customFormat="false" ht="23.85" hidden="false" customHeight="false" outlineLevel="0" collapsed="false">
      <c r="B6" s="21" t="s">
        <v>38</v>
      </c>
      <c r="C6" s="21" t="s">
        <v>853</v>
      </c>
      <c r="D6" s="21" t="s">
        <v>854</v>
      </c>
      <c r="E6" s="21" t="s">
        <v>855</v>
      </c>
    </row>
    <row r="7" customFormat="false" ht="15" hidden="false" customHeight="false" outlineLevel="0" collapsed="false">
      <c r="B7" s="22" t="s">
        <v>52</v>
      </c>
      <c r="C7" s="23" t="n">
        <f aca="false">COUNTIF(Catalogue!$P$2:$P$135,$B7)</f>
        <v>75</v>
      </c>
      <c r="D7" s="24" t="n">
        <f aca="false">IFERROR(AVERAGEIF(Catalogue!$P$2:$P$135,$B7,Catalogue!$J$2:$J$135),0)</f>
        <v>3.81333333333333</v>
      </c>
      <c r="E7" s="24" t="n">
        <f aca="false">IFERROR(AVERAGEIF(Catalogue!$P$2:$P$135,$B7,Catalogue!$I$2:$I$135),0)</f>
        <v>3.05333333333333</v>
      </c>
    </row>
    <row r="8" customFormat="false" ht="15" hidden="false" customHeight="false" outlineLevel="0" collapsed="false">
      <c r="B8" s="22" t="s">
        <v>451</v>
      </c>
      <c r="C8" s="23" t="n">
        <f aca="false">COUNTIF(Catalogue!$P$2:$P$135,$B8)</f>
        <v>43</v>
      </c>
      <c r="D8" s="24" t="n">
        <f aca="false">IFERROR(AVERAGEIF(Catalogue!$P$2:$P$135,$B8,Catalogue!$J$2:$J$135),0)</f>
        <v>3.02325581395349</v>
      </c>
      <c r="E8" s="24" t="n">
        <f aca="false">IFERROR(AVERAGEIF(Catalogue!$P$2:$P$135,$B8,Catalogue!$I$2:$I$135),0)</f>
        <v>2.86046511627907</v>
      </c>
    </row>
    <row r="9" customFormat="false" ht="15" hidden="false" customHeight="false" outlineLevel="0" collapsed="false">
      <c r="B9" s="22" t="s">
        <v>669</v>
      </c>
      <c r="C9" s="23" t="n">
        <f aca="false">COUNTIF(Catalogue!$P$2:$P$135,$B9)</f>
        <v>16</v>
      </c>
      <c r="D9" s="24" t="n">
        <f aca="false">IFERROR(AVERAGEIF(Catalogue!$P$2:$P$135,$B9,Catalogue!$J$2:$J$135),0)</f>
        <v>2.625</v>
      </c>
      <c r="E9" s="24" t="n">
        <f aca="false">IFERROR(AVERAGEIF(Catalogue!$P$2:$P$135,$B9,Catalogue!$I$2:$I$135),0)</f>
        <v>2.5625</v>
      </c>
    </row>
    <row r="11" customFormat="false" ht="15" hidden="false" customHeight="false" outlineLevel="0" collapsed="false">
      <c r="B11" s="4" t="s">
        <v>856</v>
      </c>
    </row>
    <row r="12" customFormat="false" ht="23.85" hidden="false" customHeight="false" outlineLevel="0" collapsed="false">
      <c r="B12" s="21" t="s">
        <v>24</v>
      </c>
      <c r="C12" s="21" t="s">
        <v>857</v>
      </c>
      <c r="D12" s="21" t="s">
        <v>854</v>
      </c>
      <c r="E12" s="21" t="s">
        <v>855</v>
      </c>
    </row>
    <row r="13" customFormat="false" ht="15" hidden="false" customHeight="false" outlineLevel="0" collapsed="false">
      <c r="B13" s="22" t="s">
        <v>41</v>
      </c>
      <c r="C13" s="23" t="n">
        <f aca="false">COUNTIFS(Catalogue!$P$2:$P$135,"Retenu",Catalogue!$B$2:$B$135,$B13)</f>
        <v>38</v>
      </c>
      <c r="D13" s="24" t="n">
        <f aca="false">IFERROR(AVERAGEIFS(Catalogue!$J$2:$J$135,Catalogue!$P$2:$P$135,"Retenu",Catalogue!$B$2:$B$135,$B13),0)</f>
        <v>3.78947368421053</v>
      </c>
      <c r="E13" s="24" t="n">
        <f aca="false">IFERROR(AVERAGEIFS(Catalogue!$I$2:$I$135,Catalogue!$P$2:$P$135,"Retenu",Catalogue!$B$2:$B$135,$B13),0)</f>
        <v>3.28947368421053</v>
      </c>
    </row>
    <row r="14" customFormat="false" ht="15" hidden="false" customHeight="false" outlineLevel="0" collapsed="false">
      <c r="B14" s="22" t="s">
        <v>307</v>
      </c>
      <c r="C14" s="23" t="n">
        <f aca="false">COUNTIFS(Catalogue!$P$2:$P$135,"Retenu",Catalogue!$B$2:$B$135,$B14)</f>
        <v>31</v>
      </c>
      <c r="D14" s="24" t="n">
        <f aca="false">IFERROR(AVERAGEIFS(Catalogue!$J$2:$J$135,Catalogue!$P$2:$P$135,"Retenu",Catalogue!$B$2:$B$135,$B14),0)</f>
        <v>4.38709677419355</v>
      </c>
      <c r="E14" s="24" t="n">
        <f aca="false">IFERROR(AVERAGEIFS(Catalogue!$I$2:$I$135,Catalogue!$P$2:$P$135,"Retenu",Catalogue!$B$2:$B$135,$B14),0)</f>
        <v>2.70967741935484</v>
      </c>
    </row>
    <row r="15" customFormat="false" ht="15" hidden="false" customHeight="false" outlineLevel="0" collapsed="false">
      <c r="B15" s="22" t="s">
        <v>276</v>
      </c>
      <c r="C15" s="23" t="n">
        <f aca="false">COUNTIFS(Catalogue!$P$2:$P$135,"Retenu",Catalogue!$B$2:$B$135,$B15)</f>
        <v>6</v>
      </c>
      <c r="D15" s="24" t="n">
        <f aca="false">IFERROR(AVERAGEIFS(Catalogue!$J$2:$J$135,Catalogue!$P$2:$P$135,"Retenu",Catalogue!$B$2:$B$135,$B15),0)</f>
        <v>1</v>
      </c>
      <c r="E15" s="24" t="n">
        <f aca="false">IFERROR(AVERAGEIFS(Catalogue!$I$2:$I$135,Catalogue!$P$2:$P$135,"Retenu",Catalogue!$B$2:$B$135,$B15),0)</f>
        <v>3.33333333333333</v>
      </c>
    </row>
    <row r="17" customFormat="false" ht="23.85" hidden="false" customHeight="false" outlineLevel="0" collapsed="false">
      <c r="B17" s="22" t="s">
        <v>858</v>
      </c>
      <c r="C17" s="23" t="s">
        <v>859</v>
      </c>
      <c r="D17" s="25" t="s">
        <v>860</v>
      </c>
      <c r="E17" s="25" t="s">
        <v>861</v>
      </c>
    </row>
    <row r="19" customFormat="false" ht="15" hidden="false" customHeight="false" outlineLevel="0" collapsed="false">
      <c r="B19" s="4" t="s">
        <v>862</v>
      </c>
    </row>
    <row r="20" customFormat="false" ht="15" hidden="false" customHeight="false" outlineLevel="0" collapsed="false">
      <c r="B20" s="21" t="s">
        <v>863</v>
      </c>
      <c r="C20" s="21" t="s">
        <v>864</v>
      </c>
      <c r="D20" s="21" t="s">
        <v>865</v>
      </c>
    </row>
    <row r="21" customFormat="false" ht="15" hidden="false" customHeight="false" outlineLevel="0" collapsed="false">
      <c r="B21" s="25" t="s">
        <v>866</v>
      </c>
      <c r="C21" s="23" t="n">
        <f aca="false">COUNTIFS(Catalogue!$P$2:$P$135,"Retenu",Catalogue!$N$2:$N$135,1)</f>
        <v>34</v>
      </c>
      <c r="D21" s="23" t="n">
        <f aca="false">COUNTIFS(Catalogue!$P$2:$P$135,"Retenu",Catalogue!$N$2:$N$135,"&lt;="&amp;1)</f>
        <v>34</v>
      </c>
    </row>
    <row r="22" customFormat="false" ht="15" hidden="false" customHeight="false" outlineLevel="0" collapsed="false">
      <c r="B22" s="25" t="s">
        <v>867</v>
      </c>
      <c r="C22" s="23" t="n">
        <f aca="false">COUNTIFS(Catalogue!$P$2:$P$135,"Retenu",Catalogue!$N$2:$N$135,2)</f>
        <v>28</v>
      </c>
      <c r="D22" s="23" t="n">
        <f aca="false">COUNTIFS(Catalogue!$P$2:$P$135,"Retenu",Catalogue!$N$2:$N$135,"&lt;="&amp;2)</f>
        <v>62</v>
      </c>
    </row>
    <row r="23" customFormat="false" ht="15" hidden="false" customHeight="false" outlineLevel="0" collapsed="false">
      <c r="B23" s="25" t="s">
        <v>868</v>
      </c>
      <c r="C23" s="23" t="n">
        <f aca="false">COUNTIFS(Catalogue!$P$2:$P$135,"Retenu",Catalogue!$N$2:$N$135,3)</f>
        <v>13</v>
      </c>
      <c r="D23" s="23" t="n">
        <f aca="false">COUNTIFS(Catalogue!$P$2:$P$135,"Retenu",Catalogue!$N$2:$N$135,"&lt;="&amp;3)</f>
        <v>75</v>
      </c>
    </row>
    <row r="24" customFormat="false" ht="15" hidden="false" customHeight="false" outlineLevel="0" collapsed="false">
      <c r="B24" s="25" t="s">
        <v>869</v>
      </c>
      <c r="C24" s="23" t="n">
        <f aca="false">COUNTIFS(Catalogue!$P$2:$P$135,"Retenu",Catalogue!$N$2:$N$135,4)</f>
        <v>0</v>
      </c>
      <c r="D24" s="23" t="n">
        <f aca="false">COUNTIFS(Catalogue!$P$2:$P$135,"Retenu",Catalogue!$N$2:$N$135,"&lt;="&amp;4)</f>
        <v>75</v>
      </c>
    </row>
    <row r="26" customFormat="false" ht="15" hidden="false" customHeight="false" outlineLevel="0" collapsed="false">
      <c r="B26" s="4" t="s">
        <v>870</v>
      </c>
    </row>
    <row r="27" customFormat="false" ht="15" hidden="false" customHeight="false" outlineLevel="0" collapsed="false">
      <c r="B27" s="18" t="s">
        <v>871</v>
      </c>
    </row>
    <row r="28" customFormat="false" ht="23.85" hidden="false" customHeight="false" outlineLevel="0" collapsed="false">
      <c r="B28" s="21" t="s">
        <v>872</v>
      </c>
      <c r="C28" s="21" t="s">
        <v>873</v>
      </c>
      <c r="D28" s="21" t="s">
        <v>874</v>
      </c>
      <c r="E28" s="21" t="s">
        <v>875</v>
      </c>
    </row>
    <row r="29" customFormat="false" ht="30" hidden="false" customHeight="true" outlineLevel="0" collapsed="false">
      <c r="B29" s="25" t="s">
        <v>876</v>
      </c>
      <c r="C29" s="25" t="s">
        <v>877</v>
      </c>
      <c r="D29" s="23" t="s">
        <v>451</v>
      </c>
      <c r="E29" s="25" t="s">
        <v>878</v>
      </c>
    </row>
    <row r="30" customFormat="false" ht="30" hidden="false" customHeight="true" outlineLevel="0" collapsed="false">
      <c r="B30" s="25" t="s">
        <v>879</v>
      </c>
      <c r="C30" s="25" t="s">
        <v>880</v>
      </c>
      <c r="D30" s="23" t="s">
        <v>451</v>
      </c>
      <c r="E30" s="25" t="s">
        <v>881</v>
      </c>
    </row>
    <row r="32" customFormat="false" ht="15" hidden="false" customHeight="false" outlineLevel="0" collapsed="false">
      <c r="B32" s="22" t="s">
        <v>882</v>
      </c>
    </row>
    <row r="35" customFormat="false" ht="15" hidden="false" customHeight="false" outlineLevel="0" collapsed="false">
      <c r="B35" s="4" t="s">
        <v>883</v>
      </c>
    </row>
    <row r="36" customFormat="false" ht="23.85" hidden="false" customHeight="false" outlineLevel="0" collapsed="false">
      <c r="B36" s="21" t="s">
        <v>884</v>
      </c>
      <c r="C36" s="21" t="s">
        <v>885</v>
      </c>
      <c r="D36" s="21" t="s">
        <v>886</v>
      </c>
    </row>
    <row r="37" customFormat="false" ht="30" hidden="false" customHeight="true" outlineLevel="0" collapsed="false">
      <c r="B37" s="25" t="s">
        <v>887</v>
      </c>
      <c r="C37" s="25" t="s">
        <v>888</v>
      </c>
      <c r="D37" s="25" t="s">
        <v>889</v>
      </c>
    </row>
    <row r="38" customFormat="false" ht="30" hidden="false" customHeight="true" outlineLevel="0" collapsed="false">
      <c r="B38" s="25" t="s">
        <v>890</v>
      </c>
      <c r="C38" s="25" t="s">
        <v>891</v>
      </c>
      <c r="D38" s="25" t="s">
        <v>892</v>
      </c>
    </row>
    <row r="39" customFormat="false" ht="30" hidden="false" customHeight="true" outlineLevel="0" collapsed="false">
      <c r="B39" s="25" t="s">
        <v>893</v>
      </c>
      <c r="C39" s="25" t="s">
        <v>894</v>
      </c>
      <c r="D39" s="25" t="s">
        <v>895</v>
      </c>
    </row>
    <row r="40" customFormat="false" ht="30" hidden="false" customHeight="true" outlineLevel="0" collapsed="false">
      <c r="B40" s="25" t="s">
        <v>896</v>
      </c>
      <c r="C40" s="25" t="s">
        <v>897</v>
      </c>
      <c r="D40" s="25" t="s">
        <v>898</v>
      </c>
    </row>
    <row r="42" customFormat="false" ht="35.05" hidden="false" customHeight="false" outlineLevel="0" collapsed="false">
      <c r="B42" s="22" t="s">
        <v>899</v>
      </c>
    </row>
    <row r="43" customFormat="false" ht="23.85" hidden="false" customHeight="false" outlineLevel="0" collapsed="false">
      <c r="B43" s="25" t="s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2026-08-18T05:34:46Z</dcterms:created>
  <dc:creator>openpyxl</dc:creator>
  <dc:description/>
  <dc:language>en-US</dc:language>
  <cp:lastModifiedBy/>
  <dcterms:modified xsi:type="dcterms:W3CDTF">2026-08-18T05:34:47Z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